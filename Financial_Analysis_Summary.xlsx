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hidePivotFieldList="1"/>
  <mc:AlternateContent xmlns:mc="http://schemas.openxmlformats.org/markup-compatibility/2006">
    <mc:Choice Requires="x15">
      <x15ac:absPath xmlns:x15ac="http://schemas.microsoft.com/office/spreadsheetml/2010/11/ac" url="/Users/ileniasantagata/Documents/Data Analytics/"/>
    </mc:Choice>
  </mc:AlternateContent>
  <xr:revisionPtr revIDLastSave="0" documentId="8_{E10F03E5-907C-6943-A55A-2FED1E8DA54B}" xr6:coauthVersionLast="47" xr6:coauthVersionMax="47" xr10:uidLastSave="{00000000-0000-0000-0000-000000000000}"/>
  <bookViews>
    <workbookView xWindow="0" yWindow="500" windowWidth="25600" windowHeight="14540" xr2:uid="{466C294D-E84E-1A48-AA58-F3C7DDCCBB49}"/>
  </bookViews>
  <sheets>
    <sheet name="Dashboard" sheetId="5" r:id="rId1"/>
    <sheet name="Input Data" sheetId="4" r:id="rId2"/>
    <sheet name="Financials USA" sheetId="1" r:id="rId3"/>
    <sheet name="Financials Canada" sheetId="2" r:id="rId4"/>
    <sheet name="Gross Profit &amp; EBITDA" sheetId="3" r:id="rId5"/>
  </sheets>
  <definedNames>
    <definedName name="_xlchart.v1.4" hidden="1">'Input Data'!$J$51:$J$55</definedName>
    <definedName name="_xlchart.v1.5" hidden="1">'Input Data'!$K$51:$K$55</definedName>
    <definedName name="_xlchart.v5.0" hidden="1">'Input Data'!$J$27</definedName>
    <definedName name="_xlchart.v5.1" hidden="1">'Input Data'!$J$28:$J$29</definedName>
    <definedName name="_xlchart.v5.2" hidden="1">'Input Data'!$K$27</definedName>
    <definedName name="_xlchart.v5.3" hidden="1">'Input Data'!$K$28:$K$29</definedName>
    <definedName name="Slicer_Country">#N/A</definedName>
    <definedName name="Slicer_Customer_Type">#N/A</definedName>
    <definedName name="Slicer_Service">#N/A</definedName>
    <definedName name="Slicer_Year">#N/A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4" l="1"/>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 i="4"/>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 i="4"/>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2" i="3"/>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122" i="4"/>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2" i="4"/>
  <c r="A8" i="2"/>
  <c r="A10" i="2"/>
  <c r="A11" i="2"/>
  <c r="A12" i="2"/>
  <c r="A13" i="2"/>
  <c r="A15" i="2"/>
  <c r="A16" i="2"/>
  <c r="A17" i="2"/>
  <c r="A18" i="2"/>
  <c r="A19" i="2"/>
  <c r="A7" i="2"/>
  <c r="A10" i="1"/>
  <c r="A11" i="1"/>
  <c r="A12" i="1"/>
  <c r="A13" i="1"/>
  <c r="A15" i="1"/>
  <c r="A16" i="1"/>
  <c r="A17" i="1"/>
  <c r="A18" i="1"/>
  <c r="A19" i="1"/>
  <c r="A8" i="1"/>
  <c r="A7" i="1"/>
  <c r="N20" i="2"/>
  <c r="M20" i="2"/>
  <c r="L20" i="2"/>
  <c r="K20" i="2"/>
  <c r="J20" i="2"/>
  <c r="I20" i="2"/>
  <c r="H20" i="2"/>
  <c r="G20" i="2"/>
  <c r="F20" i="2"/>
  <c r="E20" i="2"/>
  <c r="E14" i="2"/>
  <c r="N9" i="2"/>
  <c r="N23" i="2" s="1"/>
  <c r="M9" i="2"/>
  <c r="M23" i="2" s="1"/>
  <c r="L9" i="2"/>
  <c r="K9" i="2"/>
  <c r="K23" i="2" s="1"/>
  <c r="J9" i="2"/>
  <c r="J23" i="2" s="1"/>
  <c r="I9" i="2"/>
  <c r="I23" i="2" s="1"/>
  <c r="H9" i="2"/>
  <c r="H23" i="2" s="1"/>
  <c r="G9" i="2"/>
  <c r="G23" i="2" s="1"/>
  <c r="F9" i="2"/>
  <c r="F23" i="2" s="1"/>
  <c r="E9" i="2"/>
  <c r="N20" i="1"/>
  <c r="M20" i="1"/>
  <c r="L20" i="1"/>
  <c r="K20" i="1"/>
  <c r="J20" i="1"/>
  <c r="I20" i="1"/>
  <c r="H20" i="1"/>
  <c r="G20" i="1"/>
  <c r="F20" i="1"/>
  <c r="E20" i="1"/>
  <c r="N14" i="1"/>
  <c r="M14" i="1"/>
  <c r="M23" i="1" s="1"/>
  <c r="L14" i="1"/>
  <c r="K14" i="1"/>
  <c r="J14" i="1"/>
  <c r="I14" i="1"/>
  <c r="H14" i="1"/>
  <c r="G14" i="1"/>
  <c r="F14" i="1"/>
  <c r="E14" i="1"/>
  <c r="E23" i="1" s="1"/>
  <c r="N9" i="1"/>
  <c r="N23" i="1" s="1"/>
  <c r="M9" i="1"/>
  <c r="L9" i="1"/>
  <c r="L23" i="1" s="1"/>
  <c r="K9" i="1"/>
  <c r="K23" i="1" s="1"/>
  <c r="J9" i="1"/>
  <c r="J23" i="1" s="1"/>
  <c r="I9" i="1"/>
  <c r="I23" i="1" s="1"/>
  <c r="H9" i="1"/>
  <c r="H23" i="1" s="1"/>
  <c r="G9" i="1"/>
  <c r="G23" i="1" s="1"/>
  <c r="F9" i="1"/>
  <c r="F23" i="1" s="1"/>
  <c r="E9" i="1"/>
  <c r="P21" i="4"/>
  <c r="P10" i="4"/>
  <c r="K55" i="4"/>
  <c r="K53" i="4"/>
  <c r="K51" i="4"/>
  <c r="K52" i="4" l="1"/>
  <c r="K54" i="4"/>
  <c r="L23" i="2"/>
  <c r="E23" i="2"/>
</calcChain>
</file>

<file path=xl/sharedStrings.xml><?xml version="1.0" encoding="utf-8"?>
<sst xmlns="http://schemas.openxmlformats.org/spreadsheetml/2006/main" count="955" uniqueCount="41">
  <si>
    <t>Year</t>
  </si>
  <si>
    <t>Period start</t>
  </si>
  <si>
    <t>Period end</t>
  </si>
  <si>
    <t>Customer</t>
  </si>
  <si>
    <t>SMB</t>
  </si>
  <si>
    <t>Artificial Intelligence</t>
  </si>
  <si>
    <t>Enterprise</t>
  </si>
  <si>
    <t>Total</t>
  </si>
  <si>
    <t>Marketing</t>
  </si>
  <si>
    <t>Accounting</t>
  </si>
  <si>
    <t>Total Revenue</t>
  </si>
  <si>
    <t>Country</t>
  </si>
  <si>
    <t>Gross Profit Margin</t>
  </si>
  <si>
    <t>EBITDA Margin</t>
  </si>
  <si>
    <t>USA</t>
  </si>
  <si>
    <t>Canada</t>
  </si>
  <si>
    <t>Service</t>
  </si>
  <si>
    <t>Customer Type</t>
  </si>
  <si>
    <t>Revenue</t>
  </si>
  <si>
    <t>Gross Profit</t>
  </si>
  <si>
    <t>EBITDA</t>
  </si>
  <si>
    <t>Index Key</t>
  </si>
  <si>
    <t>Xlookup Key</t>
  </si>
  <si>
    <t>Row Labels</t>
  </si>
  <si>
    <t>Grand Total</t>
  </si>
  <si>
    <t>Sum of Gross Profit</t>
  </si>
  <si>
    <t>Sum of EBITDA</t>
  </si>
  <si>
    <t>(All)</t>
  </si>
  <si>
    <t>Sum of Revenue</t>
  </si>
  <si>
    <t>COGS</t>
  </si>
  <si>
    <t>Overheads</t>
  </si>
  <si>
    <t>EBIDTA</t>
  </si>
  <si>
    <t>Values</t>
  </si>
  <si>
    <t>Sum of Difference Revenue/Gross Profit</t>
  </si>
  <si>
    <t>Sum of Difference Revenue/EBIDTA</t>
  </si>
  <si>
    <t>EBIDTA Margin</t>
  </si>
  <si>
    <t>Gross Margin</t>
  </si>
  <si>
    <t xml:space="preserve">EBITDA </t>
  </si>
  <si>
    <t xml:space="preserve">Revenue   </t>
  </si>
  <si>
    <t xml:space="preserve">Gross Profit    </t>
  </si>
  <si>
    <t xml:space="preserve">EBITDA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</si>
</sst>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0.0"/>
    <numFmt numFmtId="166" formatCode="[$£-809]#,##0"/>
  </numFmts>
  <fonts count="6" x14ac:knownFonts="1">
    <font>
      <sz val="12"/>
      <color theme="1"/>
      <name val="Aptos Narrow"/>
      <family val="2"/>
      <scheme val="minor"/>
    </font>
    <font>
      <sz val="12"/>
      <color theme="1"/>
      <name val="Aptos Narrow"/>
      <family val="2"/>
      <scheme val="minor"/>
    </font>
    <font>
      <sz val="12"/>
      <color theme="0"/>
      <name val="Aptos Narrow"/>
      <family val="2"/>
      <scheme val="minor"/>
    </font>
    <font>
      <sz val="12"/>
      <color theme="1"/>
      <name val="Aptos Narrow"/>
      <scheme val="minor"/>
    </font>
    <font>
      <b/>
      <sz val="12"/>
      <color theme="1"/>
      <name val="Aptos Narrow"/>
      <scheme val="minor"/>
    </font>
    <font>
      <sz val="12"/>
      <color rgb="FF000000"/>
      <name val="Aptos Narrow"/>
      <family val="2"/>
      <scheme val="minor"/>
    </font>
  </fonts>
  <fills count="6">
    <fill>
      <patternFill patternType="none"/>
    </fill>
    <fill>
      <patternFill patternType="gray125"/>
    </fill>
    <fill>
      <patternFill patternType="solid">
        <fgColor theme="3" tint="0.499984740745262"/>
        <bgColor indexed="64"/>
      </patternFill>
    </fill>
    <fill>
      <patternFill patternType="solid">
        <fgColor theme="3" tint="0.89999084444715716"/>
        <bgColor indexed="64"/>
      </patternFill>
    </fill>
    <fill>
      <patternFill patternType="solid">
        <fgColor theme="2"/>
        <bgColor indexed="64"/>
      </patternFill>
    </fill>
    <fill>
      <patternFill patternType="solid">
        <fgColor rgb="FFE8E8E8"/>
        <bgColor rgb="FF000000"/>
      </patternFill>
    </fill>
  </fills>
  <borders count="6">
    <border>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35">
    <xf numFmtId="0" fontId="0" fillId="0" borderId="0" xfId="0"/>
    <xf numFmtId="0" fontId="3" fillId="0" borderId="0" xfId="0" applyFont="1"/>
    <xf numFmtId="0" fontId="2" fillId="2" borderId="1" xfId="0" applyFont="1" applyFill="1" applyBorder="1"/>
    <xf numFmtId="0" fontId="2" fillId="2" borderId="0" xfId="0" applyFont="1" applyFill="1"/>
    <xf numFmtId="0" fontId="0" fillId="3" borderId="1" xfId="0" applyFill="1" applyBorder="1"/>
    <xf numFmtId="0" fontId="0" fillId="3" borderId="0" xfId="0" applyFill="1"/>
    <xf numFmtId="15" fontId="0" fillId="3" borderId="0" xfId="0" applyNumberFormat="1" applyFill="1"/>
    <xf numFmtId="0" fontId="0" fillId="0" borderId="1" xfId="0" applyBorder="1"/>
    <xf numFmtId="0" fontId="0" fillId="4" borderId="0" xfId="0" applyFill="1"/>
    <xf numFmtId="0" fontId="0" fillId="4" borderId="1" xfId="0" applyFill="1" applyBorder="1"/>
    <xf numFmtId="0" fontId="3" fillId="0" borderId="0" xfId="0" applyFont="1" applyAlignment="1">
      <alignment horizontal="left" vertical="center"/>
    </xf>
    <xf numFmtId="0" fontId="0" fillId="0" borderId="0" xfId="0" applyAlignment="1">
      <alignment horizontal="left" vertical="center"/>
    </xf>
    <xf numFmtId="164" fontId="0" fillId="0" borderId="0" xfId="0" applyNumberFormat="1"/>
    <xf numFmtId="0" fontId="3" fillId="0" borderId="2" xfId="0" applyFont="1" applyBorder="1" applyAlignment="1">
      <alignment horizontal="left" vertical="center"/>
    </xf>
    <xf numFmtId="0" fontId="0" fillId="0" borderId="2" xfId="0" applyBorder="1" applyAlignment="1">
      <alignment horizontal="left" vertical="center"/>
    </xf>
    <xf numFmtId="0" fontId="0" fillId="0" borderId="3" xfId="0" applyBorder="1"/>
    <xf numFmtId="164" fontId="0" fillId="0" borderId="2" xfId="0" applyNumberFormat="1" applyBorder="1"/>
    <xf numFmtId="3" fontId="0" fillId="0" borderId="0" xfId="0" applyNumberFormat="1"/>
    <xf numFmtId="0" fontId="4" fillId="0" borderId="0" xfId="0" applyFont="1" applyAlignment="1">
      <alignment horizontal="left" vertical="center"/>
    </xf>
    <xf numFmtId="0" fontId="4" fillId="0" borderId="1" xfId="0" applyFont="1" applyBorder="1"/>
    <xf numFmtId="164" fontId="4" fillId="0" borderId="0" xfId="0" applyNumberFormat="1" applyFont="1"/>
    <xf numFmtId="0" fontId="0" fillId="0" borderId="2" xfId="0" applyBorder="1"/>
    <xf numFmtId="0" fontId="4" fillId="0" borderId="4" xfId="0" applyFont="1" applyBorder="1"/>
    <xf numFmtId="0" fontId="0" fillId="0" borderId="4" xfId="0" applyBorder="1"/>
    <xf numFmtId="0" fontId="4" fillId="0" borderId="5" xfId="0" applyFont="1" applyBorder="1"/>
    <xf numFmtId="164" fontId="4" fillId="0" borderId="4" xfId="0" applyNumberFormat="1" applyFont="1" applyBorder="1"/>
    <xf numFmtId="9" fontId="0" fillId="0" borderId="0" xfId="1" applyFont="1"/>
    <xf numFmtId="0" fontId="3" fillId="4" borderId="0" xfId="0" applyFont="1" applyFill="1"/>
    <xf numFmtId="0" fontId="5" fillId="5" borderId="0" xfId="0" applyFont="1" applyFill="1"/>
    <xf numFmtId="0" fontId="5" fillId="0" borderId="0" xfId="0" applyFont="1"/>
    <xf numFmtId="2" fontId="0" fillId="0" borderId="0" xfId="0" applyNumberFormat="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cellXfs>
  <cellStyles count="2">
    <cellStyle name="Normal" xfId="0" builtinId="0"/>
    <cellStyle name="Percent" xfId="1" builtinId="5"/>
  </cellStyles>
  <dxfs count="10">
    <dxf>
      <numFmt numFmtId="166" formatCode="[$£-809]#,##0"/>
    </dxf>
    <dxf>
      <alignment horizontal="left" vertical="bottom" textRotation="0" wrapText="0" indent="0" justifyLastLine="0" shrinkToFit="0" readingOrder="0"/>
    </dxf>
    <dxf>
      <numFmt numFmtId="2" formatCode="0.00"/>
    </dxf>
    <dxf>
      <numFmt numFmtId="2" formatCode="0.00"/>
    </dxf>
    <dxf>
      <font>
        <b val="0"/>
        <i val="0"/>
        <strike val="0"/>
        <condense val="0"/>
        <extend val="0"/>
        <outline val="0"/>
        <shadow val="0"/>
        <u val="none"/>
        <vertAlign val="baseline"/>
        <sz val="12"/>
        <color rgb="FF000000"/>
        <name val="Aptos Narrow"/>
        <family val="2"/>
        <scheme val="minor"/>
      </font>
    </dxf>
    <dxf>
      <font>
        <b val="0"/>
        <i val="0"/>
        <strike val="0"/>
        <condense val="0"/>
        <extend val="0"/>
        <outline val="0"/>
        <shadow val="0"/>
        <u val="none"/>
        <vertAlign val="baseline"/>
        <sz val="12"/>
        <color rgb="FF000000"/>
        <name val="Aptos Narrow"/>
        <family val="2"/>
        <scheme val="minor"/>
      </font>
    </dxf>
    <dxf>
      <font>
        <b val="0"/>
        <i val="0"/>
        <strike val="0"/>
        <condense val="0"/>
        <extend val="0"/>
        <outline val="0"/>
        <shadow val="0"/>
        <u val="none"/>
        <vertAlign val="baseline"/>
        <sz val="12"/>
        <color rgb="FF000000"/>
        <name val="Aptos Narrow"/>
        <family val="2"/>
        <scheme val="minor"/>
      </font>
    </dxf>
    <dxf>
      <font>
        <b val="0"/>
        <i val="0"/>
        <strike val="0"/>
        <condense val="0"/>
        <extend val="0"/>
        <outline val="0"/>
        <shadow val="0"/>
        <u val="none"/>
        <vertAlign val="baseline"/>
        <sz val="12"/>
        <color rgb="FF000000"/>
        <name val="Aptos Narrow"/>
        <family val="2"/>
        <scheme val="minor"/>
      </font>
    </dxf>
    <dxf>
      <font>
        <b val="0"/>
        <i val="0"/>
        <strike val="0"/>
        <condense val="0"/>
        <extend val="0"/>
        <outline val="0"/>
        <shadow val="0"/>
        <u val="none"/>
        <vertAlign val="baseline"/>
        <sz val="12"/>
        <color rgb="FF000000"/>
        <name val="Aptos Narrow"/>
        <family val="2"/>
        <scheme val="minor"/>
      </font>
      <fill>
        <patternFill patternType="solid">
          <fgColor rgb="FF000000"/>
          <bgColor rgb="FFE8E8E8"/>
        </patternFill>
      </fill>
    </dxf>
    <dxf>
      <numFmt numFmtId="165"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[Financial_Analysis_Summary.xlsx]Input Data!Revenue vs EBIDTA</c:name>
    <c:fmtId val="2"/>
  </c:pivotSource>
  <c:chart>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T"/>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T"/>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T"/>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Calibri" panose="020F0502020204030204" pitchFamily="34" charset="0"/>
                  <a:ea typeface="+mn-ea"/>
                  <a:cs typeface="Calibri" panose="020F0502020204030204" pitchFamily="34" charset="0"/>
                </a:defRPr>
              </a:pPr>
              <a:endParaRPr lang="en-I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Calibri" panose="020F0502020204030204" pitchFamily="34" charset="0"/>
                  <a:ea typeface="+mn-ea"/>
                  <a:cs typeface="Calibri" panose="020F0502020204030204" pitchFamily="34" charset="0"/>
                </a:defRPr>
              </a:pPr>
              <a:endParaRPr lang="en-I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Calibri" panose="020F0502020204030204" pitchFamily="34" charset="0"/>
                  <a:ea typeface="+mn-ea"/>
                  <a:cs typeface="Calibri" panose="020F0502020204030204" pitchFamily="34" charset="0"/>
                </a:defRPr>
              </a:pPr>
              <a:endParaRPr lang="en-IT"/>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'Input Data'!$K$6</c:f>
              <c:strCache>
                <c:ptCount val="1"/>
                <c:pt idx="0">
                  <c:v>Revenue   </c:v>
                </c:pt>
              </c:strCache>
            </c:strRef>
          </c:tx>
          <c:spPr>
            <a:solidFill>
              <a:schemeClr val="accent1">
                <a:lumMod val="60000"/>
                <a:lumOff val="40000"/>
              </a:schemeClr>
            </a:solidFill>
            <a:ln>
              <a:noFill/>
            </a:ln>
            <a:effectLst/>
          </c:spPr>
          <c:cat>
            <c:strRef>
              <c:f>'Input Data'!$J$7:$J$17</c:f>
              <c:strCache>
                <c:ptCount val="10"/>
                <c:pt idx="0">
                  <c:v>2018</c:v>
                </c:pt>
                <c:pt idx="1">
                  <c:v>2019</c:v>
                </c:pt>
                <c:pt idx="2">
                  <c:v>2020</c:v>
                </c:pt>
                <c:pt idx="3">
                  <c:v>2021</c:v>
                </c:pt>
                <c:pt idx="4">
                  <c:v>2022</c:v>
                </c:pt>
                <c:pt idx="5">
                  <c:v>2023</c:v>
                </c:pt>
                <c:pt idx="6">
                  <c:v>2024</c:v>
                </c:pt>
                <c:pt idx="7">
                  <c:v>2025</c:v>
                </c:pt>
                <c:pt idx="8">
                  <c:v>2026</c:v>
                </c:pt>
                <c:pt idx="9">
                  <c:v>2027</c:v>
                </c:pt>
              </c:strCache>
            </c:strRef>
          </c:cat>
          <c:val>
            <c:numRef>
              <c:f>'Input Data'!$K$7:$K$17</c:f>
              <c:numCache>
                <c:formatCode>General</c:formatCode>
                <c:ptCount val="10"/>
                <c:pt idx="0">
                  <c:v>172710</c:v>
                </c:pt>
                <c:pt idx="1">
                  <c:v>372232</c:v>
                </c:pt>
                <c:pt idx="2">
                  <c:v>253994</c:v>
                </c:pt>
                <c:pt idx="3">
                  <c:v>341092</c:v>
                </c:pt>
                <c:pt idx="4">
                  <c:v>362808</c:v>
                </c:pt>
                <c:pt idx="5">
                  <c:v>396536</c:v>
                </c:pt>
                <c:pt idx="6">
                  <c:v>316422</c:v>
                </c:pt>
                <c:pt idx="7">
                  <c:v>397088</c:v>
                </c:pt>
                <c:pt idx="8">
                  <c:v>384896</c:v>
                </c:pt>
                <c:pt idx="9">
                  <c:v>447026</c:v>
                </c:pt>
              </c:numCache>
            </c:numRef>
          </c:val>
          <c:extLst>
            <c:ext xmlns:c16="http://schemas.microsoft.com/office/drawing/2014/chart" uri="{C3380CC4-5D6E-409C-BE32-E72D297353CC}">
              <c16:uniqueId val="{00000000-2DF2-C048-A47C-743521A5BE6A}"/>
            </c:ext>
          </c:extLst>
        </c:ser>
        <c:dLbls>
          <c:showLegendKey val="0"/>
          <c:showVal val="0"/>
          <c:showCatName val="0"/>
          <c:showSerName val="0"/>
          <c:showPercent val="0"/>
          <c:showBubbleSize val="0"/>
        </c:dLbls>
        <c:axId val="2026359039"/>
        <c:axId val="2026205935"/>
      </c:areaChart>
      <c:barChart>
        <c:barDir val="col"/>
        <c:grouping val="clustered"/>
        <c:varyColors val="0"/>
        <c:ser>
          <c:idx val="1"/>
          <c:order val="1"/>
          <c:tx>
            <c:strRef>
              <c:f>'Input Data'!$L$6</c:f>
              <c:strCache>
                <c:ptCount val="1"/>
                <c:pt idx="0">
                  <c:v>EBITDA </c:v>
                </c:pt>
              </c:strCache>
            </c:strRef>
          </c:tx>
          <c:spPr>
            <a:solidFill>
              <a:schemeClr val="accent4">
                <a:lumMod val="75000"/>
              </a:schemeClr>
            </a:solidFill>
            <a:ln>
              <a:noFill/>
            </a:ln>
            <a:effectLst/>
          </c:spPr>
          <c:invertIfNegative val="0"/>
          <c:cat>
            <c:strRef>
              <c:f>'Input Data'!$J$7:$J$17</c:f>
              <c:strCache>
                <c:ptCount val="10"/>
                <c:pt idx="0">
                  <c:v>2018</c:v>
                </c:pt>
                <c:pt idx="1">
                  <c:v>2019</c:v>
                </c:pt>
                <c:pt idx="2">
                  <c:v>2020</c:v>
                </c:pt>
                <c:pt idx="3">
                  <c:v>2021</c:v>
                </c:pt>
                <c:pt idx="4">
                  <c:v>2022</c:v>
                </c:pt>
                <c:pt idx="5">
                  <c:v>2023</c:v>
                </c:pt>
                <c:pt idx="6">
                  <c:v>2024</c:v>
                </c:pt>
                <c:pt idx="7">
                  <c:v>2025</c:v>
                </c:pt>
                <c:pt idx="8">
                  <c:v>2026</c:v>
                </c:pt>
                <c:pt idx="9">
                  <c:v>2027</c:v>
                </c:pt>
              </c:strCache>
            </c:strRef>
          </c:cat>
          <c:val>
            <c:numRef>
              <c:f>'Input Data'!$L$7:$L$17</c:f>
              <c:numCache>
                <c:formatCode>General</c:formatCode>
                <c:ptCount val="10"/>
                <c:pt idx="0">
                  <c:v>31368.400000000001</c:v>
                </c:pt>
                <c:pt idx="1">
                  <c:v>47960.799999999996</c:v>
                </c:pt>
                <c:pt idx="2">
                  <c:v>44749.399999999994</c:v>
                </c:pt>
                <c:pt idx="3">
                  <c:v>43972.399999999987</c:v>
                </c:pt>
                <c:pt idx="4">
                  <c:v>39367.799999999996</c:v>
                </c:pt>
                <c:pt idx="5">
                  <c:v>73539.200000000012</c:v>
                </c:pt>
                <c:pt idx="6">
                  <c:v>37103.200000000004</c:v>
                </c:pt>
                <c:pt idx="7">
                  <c:v>70410</c:v>
                </c:pt>
                <c:pt idx="8">
                  <c:v>73763.199999999997</c:v>
                </c:pt>
                <c:pt idx="9">
                  <c:v>81941.400000000023</c:v>
                </c:pt>
              </c:numCache>
            </c:numRef>
          </c:val>
          <c:extLst>
            <c:ext xmlns:c16="http://schemas.microsoft.com/office/drawing/2014/chart" uri="{C3380CC4-5D6E-409C-BE32-E72D297353CC}">
              <c16:uniqueId val="{00000001-2DF2-C048-A47C-743521A5BE6A}"/>
            </c:ext>
          </c:extLst>
        </c:ser>
        <c:dLbls>
          <c:showLegendKey val="0"/>
          <c:showVal val="0"/>
          <c:showCatName val="0"/>
          <c:showSerName val="0"/>
          <c:showPercent val="0"/>
          <c:showBubbleSize val="0"/>
        </c:dLbls>
        <c:gapWidth val="108"/>
        <c:axId val="2026359039"/>
        <c:axId val="2026205935"/>
      </c:barChart>
      <c:catAx>
        <c:axId val="2026359039"/>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1" i="0" u="none" strike="noStrike" kern="1200" baseline="0">
                <a:solidFill>
                  <a:schemeClr val="bg1"/>
                </a:solidFill>
                <a:latin typeface="Calibri" panose="020F0502020204030204" pitchFamily="34" charset="0"/>
                <a:ea typeface="+mn-ea"/>
                <a:cs typeface="Calibri" panose="020F0502020204030204" pitchFamily="34" charset="0"/>
              </a:defRPr>
            </a:pPr>
            <a:endParaRPr lang="en-IT"/>
          </a:p>
        </c:txPr>
        <c:crossAx val="2026205935"/>
        <c:crosses val="autoZero"/>
        <c:auto val="1"/>
        <c:lblAlgn val="ctr"/>
        <c:lblOffset val="100"/>
        <c:noMultiLvlLbl val="0"/>
      </c:catAx>
      <c:valAx>
        <c:axId val="2026205935"/>
        <c:scaling>
          <c:orientation val="minMax"/>
          <c:max val="450000"/>
        </c:scaling>
        <c:delete val="0"/>
        <c:axPos val="l"/>
        <c:numFmt formatCode="[$£-809]#,##0" sourceLinked="0"/>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1"/>
                </a:solidFill>
                <a:latin typeface="Calibri" panose="020F0502020204030204" pitchFamily="34" charset="0"/>
                <a:ea typeface="+mn-ea"/>
                <a:cs typeface="Calibri" panose="020F0502020204030204" pitchFamily="34" charset="0"/>
              </a:defRPr>
            </a:pPr>
            <a:endParaRPr lang="en-IT"/>
          </a:p>
        </c:txPr>
        <c:crossAx val="2026359039"/>
        <c:crosses val="autoZero"/>
        <c:crossBetween val="between"/>
        <c:majorUnit val="50000"/>
        <c:dispUnits>
          <c:builtInUnit val="thousands"/>
          <c:dispUnitsLbl>
            <c:layout>
              <c:manualLayout>
                <c:xMode val="edge"/>
                <c:yMode val="edge"/>
                <c:x val="9.578580182898087E-3"/>
                <c:y val="0.35434967290433844"/>
              </c:manualLayout>
            </c:layout>
            <c:spPr>
              <a:noFill/>
              <a:ln>
                <a:noFill/>
              </a:ln>
              <a:effectLst/>
            </c:spPr>
            <c:txPr>
              <a:bodyPr rot="-5400000" spcFirstLastPara="1" vertOverflow="ellipsis" vert="horz" wrap="square" anchor="ctr" anchorCtr="1"/>
              <a:lstStyle/>
              <a:p>
                <a:pPr>
                  <a:defRPr sz="1100" b="1" i="0" u="none" strike="noStrike" kern="1200" baseline="0">
                    <a:solidFill>
                      <a:schemeClr val="bg1"/>
                    </a:solidFill>
                    <a:latin typeface="Calibri" panose="020F0502020204030204" pitchFamily="34" charset="0"/>
                    <a:ea typeface="+mn-ea"/>
                    <a:cs typeface="Calibri" panose="020F0502020204030204" pitchFamily="34" charset="0"/>
                  </a:defRPr>
                </a:pPr>
                <a:endParaRPr lang="en-IT"/>
              </a:p>
            </c:txPr>
          </c:dispUnitsLbl>
        </c:dispUnits>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Calibri" panose="020F0502020204030204" pitchFamily="34" charset="0"/>
              <a:ea typeface="+mn-ea"/>
              <a:cs typeface="Calibri" panose="020F0502020204030204" pitchFamily="34" charset="0"/>
            </a:defRPr>
          </a:pPr>
          <a:endParaRPr lang="en-IT"/>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100" b="1">
          <a:solidFill>
            <a:schemeClr val="bg1"/>
          </a:solidFill>
          <a:latin typeface="Calibri" panose="020F0502020204030204" pitchFamily="34" charset="0"/>
          <a:cs typeface="Calibri" panose="020F0502020204030204" pitchFamily="34" charset="0"/>
        </a:defRPr>
      </a:pPr>
      <a:endParaRPr lang="en-I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[Financial_Analysis_Summary.xlsx]Input Data!Sector Profitability</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Calibri" panose="020F0502020204030204" pitchFamily="34" charset="0"/>
                  <a:ea typeface="+mn-ea"/>
                  <a:cs typeface="Calibri" panose="020F0502020204030204" pitchFamily="34" charset="0"/>
                </a:defRPr>
              </a:pPr>
              <a:endParaRPr lang="en-I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Calibri" panose="020F0502020204030204" pitchFamily="34" charset="0"/>
                  <a:ea typeface="+mn-ea"/>
                  <a:cs typeface="Calibri" panose="020F0502020204030204" pitchFamily="34" charset="0"/>
                </a:defRPr>
              </a:pPr>
              <a:endParaRPr lang="en-I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lumMod val="75000"/>
            </a:schemeClr>
          </a:solidFill>
          <a:ln cap="rnd">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Calibri" panose="020F0502020204030204" pitchFamily="34" charset="0"/>
                  <a:ea typeface="+mn-ea"/>
                  <a:cs typeface="Calibri" panose="020F0502020204030204" pitchFamily="34" charset="0"/>
                </a:defRPr>
              </a:pPr>
              <a:endParaRPr lang="en-IT"/>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'Input Data'!$K$37</c:f>
              <c:strCache>
                <c:ptCount val="1"/>
                <c:pt idx="0">
                  <c:v>Revenue   </c:v>
                </c:pt>
              </c:strCache>
            </c:strRef>
          </c:tx>
          <c:spPr>
            <a:solidFill>
              <a:schemeClr val="accent4">
                <a:lumMod val="75000"/>
              </a:schemeClr>
            </a:solidFill>
            <a:ln cap="rnd">
              <a:noFill/>
            </a:ln>
            <a:effectLst/>
          </c:spPr>
          <c:invertIfNegative val="0"/>
          <c:cat>
            <c:strRef>
              <c:f>'Input Data'!$J$38:$J$41</c:f>
              <c:strCache>
                <c:ptCount val="3"/>
                <c:pt idx="0">
                  <c:v>Accounting</c:v>
                </c:pt>
                <c:pt idx="1">
                  <c:v>Artificial Intelligence</c:v>
                </c:pt>
                <c:pt idx="2">
                  <c:v>Marketing</c:v>
                </c:pt>
              </c:strCache>
            </c:strRef>
          </c:cat>
          <c:val>
            <c:numRef>
              <c:f>'Input Data'!$K$38:$K$41</c:f>
              <c:numCache>
                <c:formatCode>General</c:formatCode>
                <c:ptCount val="3"/>
                <c:pt idx="0">
                  <c:v>766694</c:v>
                </c:pt>
                <c:pt idx="1">
                  <c:v>701974</c:v>
                </c:pt>
                <c:pt idx="2">
                  <c:v>1976136</c:v>
                </c:pt>
              </c:numCache>
            </c:numRef>
          </c:val>
          <c:extLst>
            <c:ext xmlns:c16="http://schemas.microsoft.com/office/drawing/2014/chart" uri="{C3380CC4-5D6E-409C-BE32-E72D297353CC}">
              <c16:uniqueId val="{00000000-C4C0-2B42-AF30-9BDDBB68453E}"/>
            </c:ext>
          </c:extLst>
        </c:ser>
        <c:ser>
          <c:idx val="1"/>
          <c:order val="1"/>
          <c:tx>
            <c:strRef>
              <c:f>'Input Data'!$L$37</c:f>
              <c:strCache>
                <c:ptCount val="1"/>
                <c:pt idx="0">
                  <c:v>Gross Profit    </c:v>
                </c:pt>
              </c:strCache>
            </c:strRef>
          </c:tx>
          <c:spPr>
            <a:solidFill>
              <a:schemeClr val="accent1">
                <a:lumMod val="60000"/>
                <a:lumOff val="40000"/>
              </a:schemeClr>
            </a:solidFill>
            <a:ln>
              <a:noFill/>
            </a:ln>
            <a:effectLst/>
          </c:spPr>
          <c:invertIfNegative val="0"/>
          <c:cat>
            <c:strRef>
              <c:f>'Input Data'!$J$38:$J$41</c:f>
              <c:strCache>
                <c:ptCount val="3"/>
                <c:pt idx="0">
                  <c:v>Accounting</c:v>
                </c:pt>
                <c:pt idx="1">
                  <c:v>Artificial Intelligence</c:v>
                </c:pt>
                <c:pt idx="2">
                  <c:v>Marketing</c:v>
                </c:pt>
              </c:strCache>
            </c:strRef>
          </c:cat>
          <c:val>
            <c:numRef>
              <c:f>'Input Data'!$L$38:$L$41</c:f>
              <c:numCache>
                <c:formatCode>General</c:formatCode>
                <c:ptCount val="3"/>
                <c:pt idx="0">
                  <c:v>497113.79999999987</c:v>
                </c:pt>
                <c:pt idx="1">
                  <c:v>416294.99999999988</c:v>
                </c:pt>
                <c:pt idx="2">
                  <c:v>1161788.3999999994</c:v>
                </c:pt>
              </c:numCache>
            </c:numRef>
          </c:val>
          <c:extLst>
            <c:ext xmlns:c16="http://schemas.microsoft.com/office/drawing/2014/chart" uri="{C3380CC4-5D6E-409C-BE32-E72D297353CC}">
              <c16:uniqueId val="{00000001-C4C0-2B42-AF30-9BDDBB68453E}"/>
            </c:ext>
          </c:extLst>
        </c:ser>
        <c:ser>
          <c:idx val="2"/>
          <c:order val="2"/>
          <c:tx>
            <c:strRef>
              <c:f>'Input Data'!$M$37</c:f>
              <c:strCache>
                <c:ptCount val="1"/>
                <c:pt idx="0">
                  <c:v>EBITDA    </c:v>
                </c:pt>
              </c:strCache>
            </c:strRef>
          </c:tx>
          <c:spPr>
            <a:solidFill>
              <a:schemeClr val="bg1"/>
            </a:solidFill>
            <a:ln>
              <a:noFill/>
            </a:ln>
            <a:effectLst/>
          </c:spPr>
          <c:invertIfNegative val="0"/>
          <c:cat>
            <c:strRef>
              <c:f>'Input Data'!$J$38:$J$41</c:f>
              <c:strCache>
                <c:ptCount val="3"/>
                <c:pt idx="0">
                  <c:v>Accounting</c:v>
                </c:pt>
                <c:pt idx="1">
                  <c:v>Artificial Intelligence</c:v>
                </c:pt>
                <c:pt idx="2">
                  <c:v>Marketing</c:v>
                </c:pt>
              </c:strCache>
            </c:strRef>
          </c:cat>
          <c:val>
            <c:numRef>
              <c:f>'Input Data'!$M$38:$M$41</c:f>
              <c:numCache>
                <c:formatCode>General</c:formatCode>
                <c:ptCount val="3"/>
                <c:pt idx="0">
                  <c:v>131267.00000000003</c:v>
                </c:pt>
                <c:pt idx="1">
                  <c:v>114326.60000000003</c:v>
                </c:pt>
                <c:pt idx="2">
                  <c:v>298582.20000000013</c:v>
                </c:pt>
              </c:numCache>
            </c:numRef>
          </c:val>
          <c:extLst>
            <c:ext xmlns:c16="http://schemas.microsoft.com/office/drawing/2014/chart" uri="{C3380CC4-5D6E-409C-BE32-E72D297353CC}">
              <c16:uniqueId val="{00000002-C4C0-2B42-AF30-9BDDBB68453E}"/>
            </c:ext>
          </c:extLst>
        </c:ser>
        <c:dLbls>
          <c:showLegendKey val="0"/>
          <c:showVal val="0"/>
          <c:showCatName val="0"/>
          <c:showSerName val="0"/>
          <c:showPercent val="0"/>
          <c:showBubbleSize val="0"/>
        </c:dLbls>
        <c:gapWidth val="219"/>
        <c:overlap val="-27"/>
        <c:axId val="1833112127"/>
        <c:axId val="1748229327"/>
      </c:barChart>
      <c:catAx>
        <c:axId val="183311212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1" i="0" u="none" strike="noStrike" kern="1200" baseline="0">
                <a:solidFill>
                  <a:schemeClr val="bg1"/>
                </a:solidFill>
                <a:latin typeface="Calibri" panose="020F0502020204030204" pitchFamily="34" charset="0"/>
                <a:ea typeface="+mn-ea"/>
                <a:cs typeface="Calibri" panose="020F0502020204030204" pitchFamily="34" charset="0"/>
              </a:defRPr>
            </a:pPr>
            <a:endParaRPr lang="en-IT"/>
          </a:p>
        </c:txPr>
        <c:crossAx val="1748229327"/>
        <c:crosses val="autoZero"/>
        <c:auto val="1"/>
        <c:lblAlgn val="ctr"/>
        <c:lblOffset val="100"/>
        <c:noMultiLvlLbl val="0"/>
      </c:catAx>
      <c:valAx>
        <c:axId val="1748229327"/>
        <c:scaling>
          <c:orientation val="minMax"/>
        </c:scaling>
        <c:delete val="0"/>
        <c:axPos val="l"/>
        <c:numFmt formatCode="[$£-809]#,##0" sourceLinked="0"/>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1"/>
                </a:solidFill>
                <a:latin typeface="Calibri" panose="020F0502020204030204" pitchFamily="34" charset="0"/>
                <a:ea typeface="+mn-ea"/>
                <a:cs typeface="Calibri" panose="020F0502020204030204" pitchFamily="34" charset="0"/>
              </a:defRPr>
            </a:pPr>
            <a:endParaRPr lang="en-IT"/>
          </a:p>
        </c:txPr>
        <c:crossAx val="1833112127"/>
        <c:crosses val="autoZero"/>
        <c:crossBetween val="between"/>
        <c:dispUnits>
          <c:builtInUnit val="thousands"/>
          <c:dispUnitsLbl>
            <c:layout>
              <c:manualLayout>
                <c:xMode val="edge"/>
                <c:yMode val="edge"/>
                <c:x val="2.6060385812725965E-2"/>
                <c:y val="0.37883422374288117"/>
              </c:manualLayout>
            </c:layout>
            <c:spPr>
              <a:noFill/>
              <a:ln>
                <a:noFill/>
              </a:ln>
              <a:effectLst/>
            </c:spPr>
            <c:txPr>
              <a:bodyPr rot="-5400000" spcFirstLastPara="1" vertOverflow="ellipsis" vert="horz" wrap="square" anchor="ctr" anchorCtr="1"/>
              <a:lstStyle/>
              <a:p>
                <a:pPr>
                  <a:defRPr sz="1100" b="1" i="0" u="none" strike="noStrike" kern="1200" baseline="0">
                    <a:solidFill>
                      <a:schemeClr val="bg1"/>
                    </a:solidFill>
                    <a:latin typeface="Calibri" panose="020F0502020204030204" pitchFamily="34" charset="0"/>
                    <a:ea typeface="+mn-ea"/>
                    <a:cs typeface="Calibri" panose="020F0502020204030204" pitchFamily="34" charset="0"/>
                  </a:defRPr>
                </a:pPr>
                <a:endParaRPr lang="en-IT"/>
              </a:p>
            </c:txPr>
          </c:dispUnitsLbl>
        </c:dispUnits>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Calibri" panose="020F0502020204030204" pitchFamily="34" charset="0"/>
              <a:ea typeface="+mn-ea"/>
              <a:cs typeface="Calibri" panose="020F0502020204030204" pitchFamily="34" charset="0"/>
            </a:defRPr>
          </a:pPr>
          <a:endParaRPr lang="en-IT"/>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100" b="1">
          <a:solidFill>
            <a:schemeClr val="bg1"/>
          </a:solidFill>
          <a:latin typeface="Calibri" panose="020F0502020204030204" pitchFamily="34" charset="0"/>
          <a:cs typeface="Calibri" panose="020F0502020204030204" pitchFamily="34" charset="0"/>
        </a:defRPr>
      </a:pPr>
      <a:endParaRPr lang="en-I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[Financial_Analysis_Summary.xlsx]Input Data!Gross Margin Pie</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solidFill>
          <a:ln w="19050">
            <a:noFill/>
          </a:ln>
          <a:effectLst/>
        </c:spPr>
      </c:pivotFmt>
      <c:pivotFmt>
        <c:idx val="6"/>
        <c:spPr>
          <a:solidFill>
            <a:schemeClr val="accent4">
              <a:lumMod val="75000"/>
            </a:schemeClr>
          </a:solidFill>
          <a:ln w="19050">
            <a:noFill/>
          </a:ln>
          <a:effectLst/>
        </c:spPr>
      </c:pivotFmt>
    </c:pivotFmts>
    <c:plotArea>
      <c:layout/>
      <c:doughnutChart>
        <c:varyColors val="1"/>
        <c:ser>
          <c:idx val="0"/>
          <c:order val="0"/>
          <c:tx>
            <c:strRef>
              <c:f>'Input Data'!$P$6</c:f>
              <c:strCache>
                <c:ptCount val="1"/>
                <c:pt idx="0">
                  <c:v>Total</c:v>
                </c:pt>
              </c:strCache>
            </c:strRef>
          </c:tx>
          <c:spPr>
            <a:ln>
              <a:noFill/>
            </a:ln>
          </c:spPr>
          <c:dPt>
            <c:idx val="0"/>
            <c:bubble3D val="0"/>
            <c:spPr>
              <a:solidFill>
                <a:schemeClr val="bg1"/>
              </a:solidFill>
              <a:ln w="19050">
                <a:noFill/>
              </a:ln>
              <a:effectLst/>
            </c:spPr>
            <c:extLst>
              <c:ext xmlns:c16="http://schemas.microsoft.com/office/drawing/2014/chart" uri="{C3380CC4-5D6E-409C-BE32-E72D297353CC}">
                <c16:uniqueId val="{00000001-614A-DA48-A9BB-2172A0B5C470}"/>
              </c:ext>
            </c:extLst>
          </c:dPt>
          <c:dPt>
            <c:idx val="1"/>
            <c:bubble3D val="0"/>
            <c:spPr>
              <a:solidFill>
                <a:schemeClr val="accent4">
                  <a:lumMod val="75000"/>
                </a:schemeClr>
              </a:solidFill>
              <a:ln w="19050">
                <a:noFill/>
              </a:ln>
              <a:effectLst/>
            </c:spPr>
            <c:extLst>
              <c:ext xmlns:c16="http://schemas.microsoft.com/office/drawing/2014/chart" uri="{C3380CC4-5D6E-409C-BE32-E72D297353CC}">
                <c16:uniqueId val="{00000003-614A-DA48-A9BB-2172A0B5C470}"/>
              </c:ext>
            </c:extLst>
          </c:dPt>
          <c:cat>
            <c:strRef>
              <c:f>'Input Data'!$O$7:$O$8</c:f>
              <c:strCache>
                <c:ptCount val="2"/>
                <c:pt idx="0">
                  <c:v>Sum of Gross Profit</c:v>
                </c:pt>
                <c:pt idx="1">
                  <c:v>Sum of Difference Revenue/Gross Profit</c:v>
                </c:pt>
              </c:strCache>
            </c:strRef>
          </c:cat>
          <c:val>
            <c:numRef>
              <c:f>'Input Data'!$P$7:$P$8</c:f>
              <c:numCache>
                <c:formatCode>General</c:formatCode>
                <c:ptCount val="2"/>
                <c:pt idx="0">
                  <c:v>2075197.2000000009</c:v>
                </c:pt>
                <c:pt idx="1">
                  <c:v>1369606.7999999991</c:v>
                </c:pt>
              </c:numCache>
            </c:numRef>
          </c:val>
          <c:extLst>
            <c:ext xmlns:c16="http://schemas.microsoft.com/office/drawing/2014/chart" uri="{C3380CC4-5D6E-409C-BE32-E72D297353CC}">
              <c16:uniqueId val="{00000004-614A-DA48-A9BB-2172A0B5C470}"/>
            </c:ext>
          </c:extLst>
        </c:ser>
        <c:dLbls>
          <c:showLegendKey val="0"/>
          <c:showVal val="0"/>
          <c:showCatName val="0"/>
          <c:showSerName val="0"/>
          <c:showPercent val="0"/>
          <c:showBubbleSize val="0"/>
          <c:showLeaderLines val="1"/>
        </c:dLbls>
        <c:firstSliceAng val="0"/>
        <c:holeSize val="64"/>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I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[Financial_Analysis_Summary.xlsx]Input Data!EBIDTA Margin Pie</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bg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solidFill>
          <a:ln w="19050">
            <a:noFill/>
          </a:ln>
          <a:effectLst/>
        </c:spPr>
      </c:pivotFmt>
      <c:pivotFmt>
        <c:idx val="6"/>
        <c:spPr>
          <a:solidFill>
            <a:schemeClr val="accent4">
              <a:lumMod val="75000"/>
            </a:schemeClr>
          </a:solidFill>
          <a:ln w="19050">
            <a:noFill/>
          </a:ln>
          <a:effectLst/>
        </c:spPr>
      </c:pivotFmt>
    </c:pivotFmts>
    <c:plotArea>
      <c:layout/>
      <c:doughnutChart>
        <c:varyColors val="1"/>
        <c:ser>
          <c:idx val="0"/>
          <c:order val="0"/>
          <c:tx>
            <c:strRef>
              <c:f>'Input Data'!$P$17</c:f>
              <c:strCache>
                <c:ptCount val="1"/>
                <c:pt idx="0">
                  <c:v>Total</c:v>
                </c:pt>
              </c:strCache>
            </c:strRef>
          </c:tx>
          <c:spPr>
            <a:solidFill>
              <a:schemeClr val="bg1"/>
            </a:solidFill>
            <a:ln>
              <a:noFill/>
            </a:ln>
          </c:spPr>
          <c:dPt>
            <c:idx val="0"/>
            <c:bubble3D val="0"/>
            <c:spPr>
              <a:solidFill>
                <a:schemeClr val="bg1"/>
              </a:solidFill>
              <a:ln w="19050">
                <a:noFill/>
              </a:ln>
              <a:effectLst/>
            </c:spPr>
            <c:extLst>
              <c:ext xmlns:c16="http://schemas.microsoft.com/office/drawing/2014/chart" uri="{C3380CC4-5D6E-409C-BE32-E72D297353CC}">
                <c16:uniqueId val="{00000001-09BA-234D-867C-A4EA786DEF9D}"/>
              </c:ext>
            </c:extLst>
          </c:dPt>
          <c:dPt>
            <c:idx val="1"/>
            <c:bubble3D val="0"/>
            <c:spPr>
              <a:solidFill>
                <a:schemeClr val="accent4">
                  <a:lumMod val="75000"/>
                </a:schemeClr>
              </a:solidFill>
              <a:ln w="19050">
                <a:noFill/>
              </a:ln>
              <a:effectLst/>
            </c:spPr>
            <c:extLst>
              <c:ext xmlns:c16="http://schemas.microsoft.com/office/drawing/2014/chart" uri="{C3380CC4-5D6E-409C-BE32-E72D297353CC}">
                <c16:uniqueId val="{00000003-09BA-234D-867C-A4EA786DEF9D}"/>
              </c:ext>
            </c:extLst>
          </c:dPt>
          <c:cat>
            <c:strRef>
              <c:f>'Input Data'!$O$18:$O$19</c:f>
              <c:strCache>
                <c:ptCount val="2"/>
                <c:pt idx="0">
                  <c:v>Sum of EBITDA</c:v>
                </c:pt>
                <c:pt idx="1">
                  <c:v>Sum of Difference Revenue/EBIDTA</c:v>
                </c:pt>
              </c:strCache>
            </c:strRef>
          </c:cat>
          <c:val>
            <c:numRef>
              <c:f>'Input Data'!$P$18:$P$19</c:f>
              <c:numCache>
                <c:formatCode>General</c:formatCode>
                <c:ptCount val="2"/>
                <c:pt idx="0">
                  <c:v>544175.79999999981</c:v>
                </c:pt>
                <c:pt idx="1">
                  <c:v>2900628.2</c:v>
                </c:pt>
              </c:numCache>
            </c:numRef>
          </c:val>
          <c:extLst>
            <c:ext xmlns:c16="http://schemas.microsoft.com/office/drawing/2014/chart" uri="{C3380CC4-5D6E-409C-BE32-E72D297353CC}">
              <c16:uniqueId val="{00000004-09BA-234D-867C-A4EA786DEF9D}"/>
            </c:ext>
          </c:extLst>
        </c:ser>
        <c:dLbls>
          <c:showLegendKey val="0"/>
          <c:showVal val="0"/>
          <c:showCatName val="0"/>
          <c:showSerName val="0"/>
          <c:showPercent val="0"/>
          <c:showBubbleSize val="0"/>
          <c:showLeaderLines val="1"/>
        </c:dLbls>
        <c:firstSliceAng val="0"/>
        <c:holeSize val="64"/>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I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4FC210E1-EB97-BA45-8CDC-EECCA0661123}">
          <cx:tx>
            <cx:txData>
              <cx:f>_xlchart.v5.2</cx:f>
              <cx:v>Revenue</cx:v>
            </cx:txData>
          </cx:tx>
          <cx:dataPt idx="0">
            <cx:spPr>
              <a:solidFill>
                <a:srgbClr val="156082">
                  <a:lumMod val="60000"/>
                  <a:lumOff val="40000"/>
                </a:srgbClr>
              </a:solidFill>
            </cx:spPr>
          </cx:dataPt>
          <cx:dataPt idx="1">
            <cx:spPr>
              <a:solidFill>
                <a:srgbClr val="0F9ED5">
                  <a:lumMod val="50000"/>
                </a:srgbClr>
              </a:solidFill>
            </cx:spPr>
          </cx:dataPt>
          <cx:dataLabels>
            <cx:txPr>
              <a:bodyPr spcFirstLastPara="1" vertOverflow="ellipsis" horzOverflow="overflow" wrap="square" lIns="0" tIns="0" rIns="0" bIns="0" anchor="ctr" anchorCtr="1"/>
              <a:lstStyle/>
              <a:p>
                <a:pPr algn="ctr" rtl="0">
                  <a:defRPr sz="1200" b="1">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sz="1200" b="1" i="0" u="none" strike="noStrike" baseline="0">
                  <a:solidFill>
                    <a:schemeClr val="bg1"/>
                  </a:solidFill>
                  <a:latin typeface="Calibri" panose="020F0502020204030204" pitchFamily="34" charset="0"/>
                  <a:cs typeface="Calibri" panose="020F0502020204030204" pitchFamily="34" charset="0"/>
                </a:endParaRPr>
              </a:p>
            </cx:txPr>
            <cx:visibility seriesName="0" categoryName="0" value="1"/>
          </cx:dataLabels>
          <cx:dataId val="0"/>
          <cx:layoutPr>
            <cx:geography cultureLanguage="en-US" cultureRegion="IT" attribution="Powered by Bing">
              <cx:geoCache provider="{E9337A44-BEBE-4D9F-B70C-5C5E7DAFC167}">
                <cx:binary>7Hv5btxI8uarGP5rF1iqk8x7MD3AJsmqUql0W/LxDyHbcvI+k0fyjfY59sU2KFvdpZJGmsZigP0t
xuiGraKyIhkZx/dFRP792/S3b/n9XftuKvKy+9u36ff3sTH13377rfsW3xd33VGRfGurrvphjr5V
xW/Vjx/Jt/vfvrd3Y1Lq3zzkkt++xXetuZ/e/+Pv8G36vtpV3+5MUpWX/X1rr+67PjfdK89efPTu
W9WXZlmu4Zt+f39z/T/fv7svTWLsB1vf//7+yfP37347/JZnEt/lsCnTf4e1WB5RhCknmKOHP/j9
u7wq9a/HjpRHyBWYYUnkwx/yKPvsroD1N2Vi7r+/uzZ35r57fPTSth42dff9e3vfde9+/f1s+ZM3
efY06Sr/pyr8atn7zfXDy/72VNX/+PvBB/D6B5/sncahrt569Oww/tX3/8+xHBzCv/VY/Lvy7vvd
a/b4186DeUeUYykYoj/dxDtwE3bEkHCRoN4fz3+66E83eXs/L/vH47oDx3j8+NAjfIgM4P4Hmn72
wRuqP1i+5xJ/RJLgztyFDyHoX3766GkHS1+LZD81ePwdwpTLEdsLbcuX/Fr5U8HXd0lp3p1C9E3K
d/9t1d6V3+7/++P5733D/V1nfn/vwHlKjrmQnkuRgL/d9+/G+5+P8JFLMcYSCwoHjj3x/l1ZtSb+
/b0rjlyPSC6RK10GcVO+f9dV/a9HiDAqhJCcg5Fw8UcOuKhyq6vyD939+vld2RcXFey6+/09ff+u
/vlby1YpFYxyITxGXY8ySim8ev3t7grSDPyy+z+yKevMhBAO7Ox6m6opiB/jGYW4TCa1p6YXRHno
BVkSJLmEeYITCprYl4XpLN0plThIu3nc8C4s2i4LvCwmPq4mX4/cqnLQqd8yWQa1UbGd8pVoYScc
YbI2PxKk6cZkswwEMYVCSRyQttzxDNHV65slkG0OFSNcj4EbEsQ9VyyK21OMJwzvBji8oKv4rc7m
TE2DyHdCxKeVHNVUD0g1tbhhOXUC3mwQsuU6naJYFZ1Aijp48Os+c1WDxdcsaT7wNuF+bRy/4A1S
E+1x4Im0CdLZCbIqw6spGcxax3zrETYp4tR5SMdSBOmZZ7rSL3UdatE2/jjDF9GiSlaul24FSk9a
lgY4Sb7HIrrCjZzWEXU+iCba0qii4b4j/zrGnxb0raptm+j4F5D448d/nNf35bVp7+/N6V39EAP+
fLbAkT9/Oh/uW9O39+Avdfdu1ZffH0DK4ZolDvyx6M+YsfjeHyHlwJt/Qpx/4uqvPvwX4wCSjO/Z
zPM48DMMLCisfOL+Pxc+uj8GVEMJ5Yunewi7EM733B9zJqXrcVdysLV990cMogIiyBMPy564P6LS
Q8SFL2Ye/Sve777k/gC2CKAyJrkrDtzfVFWc2ojgYCx0rlqXDUrS5pYmilT1rdFOpqKq/NCXdgzq
VBM/y5Mc7LrofYelH03Sjz5hsQ32NPlCqMCg6efex7gArCg94S6q2fe+MW8mVNIBB3U2jsp0Q7mh
LTrpc/s1bmonRHn0xTHGVXE+X9R1e5GVvFckr27tjOwxz9d88csWHNR1W6TGelRdrk+lnvMd1zlS
uI+oKgtxMc9RF/CRg7dlQ+O3LU5Xgc5I7ksx14pnpPK7KV57nVVMZIVy6tmGhKCTeo7zny/+K8/9
a951+oj9D71k30n+8V/Xs6gLieEP6vDcrx7yqwK/iv/3/8rvC7vvXA9rH13LO+ISciq4jsu4ZALS
56NreUeCYxcL4nGOgXGA3T9mVn4kPc8lkIjEgz/Co8fMymEVJGiEGAFvWBzyMb48OTlgWy/Z8PMM
wpALaVUK2ATx8JIO9zJI1/YJd/rRCyyKSTCk1qjJOAn86wY35Rppb90Yfi/T6ANLilwVJnHCtp22
vDfSN17yIdqJVsgVsfLTmHo8KCU+Lm3qqrQ3twbV2s+K6lTmVHEnm/zEOKU/DFEPOWXm4M3OsOYT
b1SZTm1o8VScoDnbZpHz/T854ZEF71uft9jRK5a7ZISw7wzkuP4PirrgrIeFf5qtJFQiDkH8wTj3
zBaSBcLIBWuhFHMXAer702wpfOgBTnQJBVT4xGwBDwIZcOE3fiLMv2C23hJanyJCRoSggDoBlwJS
A5q+b7ZF4tgsLV03qJuI+5ZHPpnu9KTNppT94Hc0DZKtxW3yMR8L6ucOu/aoDjxSoCBNp8JvRvLJ
HUW6imb+Vee6WLd5d+GOSJm+cgLBq2svwmiN0/GyGmffpKn1/2OQLxskwIl/bpCqKu+S9v6pCcOK
R0sEkiHBYjjYIvzjCTYRR8RDkrqCYI+5gE/+tETvCH4TWBJAEwb0YTGQxwDqHSGPcC4x4BmGYfFf
CqDgCE8skTEMqASYE8FyEXbAFyrrpciKAiyxMO7HmOWVPxkydWpO2zn1s0k0oaSzL9u8uQVnQ9ct
IdFxlzBxQmVTK4LmT9FIer9tMtH7yO2ib1WH3Fj18TwW4Zi7hRopjlfd4Iz+kMx9OJfIfCNexm76
Xte5GttJfs7yUpzqgrB7J9FprqJGNMfT5KWVmjLBTkfL2MqKwSrbF/EKFOM1aqzG6DPv3Pl67wxf
SCwvqUVQSFAS8BoRBI5m30HbXM8ujTw36IYmChOOqyAvhzqkHW6CSZfVcTdHbVg4tFj/dbf6/x2d
ePRVl7q5fnebtBqo/3GX35XfuyfOtax9dC5yRBmBKI6IAIovFoL5iE7oEZRvCIe6wEL6ASL86Vzg
dy6WriRLDPboPu/nRwwSAzglwHUg7Mz7K871DJwA80cSU0qYwLCbBYDvgRNHeN6oSy8KZDasvMSu
rYjC1+0U3uKJ+4oDEYsd74kA6uJKPIKIKSanXj2tEwDubJBvuMOzfPUgBmgUAp0s0O6pGOMMmTYI
RUGUj6uKFLuqskFG5a1T9cevv5H7kiyXSShguIgTKFQ/lSVp1TZotlEghuEkds1JJUqVuShoIrtu
ysxP8HBSWb0mcbZNCntmLNlYjTeLduVo1wiy5et7OowGi5ZdDkhTIApJW+KnW3JT4ubVPEVBFTtX
Nc438ajDzO1P9HKwrbjR+XT2fydysa29gyWetgyhMQoKpD+WFsSaxJ/K3i/71HdSregkd6+LfMlc
999ysbU9kUZkjLYNvGWdp36K4m1Mss3rItzFUJ4AH9AkpBtINFBTw+zQkFJuh0poA4cbVRczKr+U
gmwckAUp8JQV5HRg/UlnUl+a6gIR8pZ8iBXP5ENBz6UCeWzplDx9x5bQ3suyNgrY8KUm7flsisB2
+SYr5U5EgLl0sk2pvBplvmkKcRN35vx1FTxgu0MVcAKVB6gFeIjzZYt7apaRFRoPRRTYQq/YnH72
2mJXc62gHn1T1nNQJVqhfgyxxlviep0SXrIVQIN7NwrLpvc1hfMBxwNT2OWyP8lkqQaUbQYg4LSv
Ll7f8OJvz/cLZ0YZlFBdcuD7TVuXjMQVHJllp6ZLAY3qkHi9j0d57XTdCSDx0xJ1X18X+1JkE8jF
AH4kJlAjfKqmIuLgcGMJ1liOX2VbXNTVELYsvnpdDH7J6gUSHuYecSEtHFgE1sKNWpNGQYY+VFl9
URLRqWLGYW2qFUrpNh3IttF6hTJnt4SYtIpDaZ2dZ+VuLPPLupzX80yVk8zBxPUly8awMFQZp48V
thCP7LQWqV45Vb6RdXNe6zlgsw1GsD004S1yhxCEWxr/hBI/G2QXP89ov+7s8SUwHZ6dABQpADAi
Dx262xwLkTmGy6B05YeYFxfeNJxoKk9ZFwV5xAKo02fKw8NqTszxxGqtTHbXdzqURbpNMVFOlXye
plHlJApravxxOm/A/CaH+LUdViSi/uDYWEXpGPK22JR8WOUthgjJNvOcXtkW7LKt1Jw5Ic96v3Pt
2uP5ZvKGcMJzoDu9LguqqBjCRZMoSf3Ig8jagUN041fejeHU0E0LGtXweSzHM9o051HxpeHTWYy7
Y+BDO+s5q36Kr+xIOkXlHERV0atsAASri53kQxh11JdN+nkSOlwEkqK6AC/f9Vb7vCNnesoDw/LP
jTUnBRffR+ysum5aNwnzbZxu58nbOlGponkOEPY2pe1XFLV3Hkm2SVpeDIkufCduz6ELcCq0XQ8s
XtOxOKk6KJTp6HqWzZ1TY+zX7XTmjeC2RNwWbnLFM3OeNDkN6jn7MNi6Um2ZX6SSbCTRoaPjsNfm
XAjnuM+S76LMFSSjdaWTMK8HwKbexySFE2XiNl3yAiVKWhka7rM+Dema4tOsFWqA4LEEkor9iEG3
S9xddF3beoXLkDRfIHDXflLCR5h+nzTZlE1UKEh7G87qKzctdm2UB8XMr51xPMkTZ9WWzm75rmqY
13ruzmUWb3kchZ3Jd9Ogt8VoKsWpXfcO+QA18HDQ8bZrRpVFiV84802E6SmjYHjOfIyT4dRoKHmS
fFdDeb305C4t2aZx5OUSdZwErbWLT0UOZUKmwyalG51pRfr4aiyHSuFaln47Tl9t4axSMSz/q9op
IW12/XGay2vozNx0eRxOpp0gYIKBjG6xSxu0rnuqCg5+63bHXcN8FBE/T+OtY8ZVmaVbRnU48uEE
V4PvdjaoI3OcD1S14xx0BhTL2XGi+6uIpL5o2nMBB1cRG2CbB7opgnKENRqMkI/GB87xrSuLTFVo
VInXHvcd2S5HHefwMwNgJZxbZzDHIxlDt8k2SA9+3uh1VzkroqfVEHOhOgl2PPTHZtRXAI63mZ0D
OUcPNmAYZDKif9hsXjdeFObxHHBPX7M4DkkO2QUSK/M+CLf3KzfdUncMNai1XY5GZ77bJp87XoKL
jKoAOxmKYkPd6Kbwpjci1EtBXkKjijIoxUOh8SD4zm3DcmE8GWDRnnNhfF1O6556b6T9510xgB1S
YAIcGzEodR9AmzQied0IKYNRZj9i8OKWaaXz6iKnNuhcsk1sselLlihb9WHjlFDr1p+WnIpo9DEe
wJK6qbhiwnzkU76LEPXT6a2CvPtStIbaE5SthACgjQ9gpsFpXBaRkIHjWqpqF+XKyvnbSMkm9fB2
gr8d6W5d1n+dsXdK6LTmaZkpXaX+61lx6Zg8SxxyKfouQMll5ACkeDQfc5wzGdgxvkqM+EDK+Wuf
2bUpioBxE3rYnJRjc5dw4zccggVxwtf38KJt7G3hQBvTUDhFB62dgOLpjDc6VXFV36Ud//C6nJeM
g8O0D5aUcRds5MAIh7xJHM9gGcxj/rlG5JRxJwRatzGzfPCRcohCzm3QQxhqcPzJtudEOisMUUhG
7bGDhlUr5a5qk23Rg9vG/cnrW3wJNkP+hlYpZ2DB3oPl7GFGpm2b89aVQV9p5dghjFsIPI4Tptmo
WD6s3DYKe0feOBpDcxTS2+sbeIGTQffXpRyyB4Ii1oGKnJTjGLpFMijcL1MXhyLyviWAg/LyLfr3
AtXiSGDXpS4BWPbQtNp7U6cmvMryRgZeelz0OGSpF6SRCGrPrnFNICJ/ef3VvIXuH9o6iJQSgBJE
IBgMeYo0c9ZO0BYAkTUBIAaJo6fUF61eLUC3db1Y8cYJl4cL60xmveqxqFU0ZpvFIiyQMtJQKNeO
oSXDqpi9DbX5hrF8N0u67eb2uDP605xMq7pC674YwmYcwpQVwQRrimkIOaCgVutTwYodFIdv68K5
nrI4TJvu3LWpPwi5SzJIfjHdmnbwE023WZdsu8IJSZteFumo+EA3DUu/WGBVduK3KG92LWx6WW+m
YWXTODQ13hjINqKiCos+HAnkuCn+tKCxHuSVXX9Cmzisc3M8lPp0SlPf7c05sVE4AAq0M9m6aF4L
oNmLl/QSnnftOYKIKXOyWcDSOPZ+n+lPmjiBUwFjMelWx9mPQWQbDFyZ9NNVI+eLvpyQytJhxWqA
iEl37AIOXpAWh2RrhgGyW76JYieMkXMlMr2mrl5DttsSO0Hx0JzMejpb4rdtyTbyviRNdDVDPx8Q
70knM8jR9aQWKBINYodTfZxPpywuv7i9XkdO4jdVdIs6gOBM7KAM4duB+gsajWbjdzVYgUwuNaDP
BlAvrzSgGrmznKi8jbcjNv6iw8E056jQV9JOvuvJ9bIOCpyrJaOiiW6GCZ86Ev4fneuxSX5MoL8q
7U8K8aEdLDA96hPZrwxKfBhMOPYyG8xRdplVeSCZvJq5DFsD+CnPgxHZ9QJkSCpvBSk8xSJ82jlT
IDW/iYCPRNKc89KeDclwQjJI+CmcKdialoNCWbGjbDqjxfnM06u0BdDdfWEuhUZCcbHUjEQEsIqO
a7fG27EYjmsbbzFkIUPmIE6yy9kmvq7GkxLIaUWzyxIIaypbETgtqA0Wx0MKILmOr5dayGIjbLJr
DWFqGCE8gQ0uKbaQ3bHl2c5285qgAux1DCUxxwyiq4nAPgVRXjuv25j6y9m0Th+ygvk8dq55BQpy
gHYm+YZO2cZtAcmNH8Clb16PCM+THwykQFlcPkwUwYTCAfWE5mXaw7tLUK1zvfABj/QnM6DKxQzK
lGySTF9zPq8TYtddBDAQyzdo6bOAC1tYRmOgaog9CIQH5Z8KNahFeJIBNNTDoTR+7hEV0XxjC/NG
rgemexgAl2IM4zADIaDbAGHwaQB0S+mUpaNFQGi6dWZpYSjItCrp4iuO5gDPAOM7kl06NA4biMNp
49428fSlaeKr2ja9ggrsNqqd3RCPKyAyypnGr4wkvpg080kFlBNig5tCarIDIHWHObs0S7bDnPfK
iAXmLMoFklbXet0ndONaIAVJBZWPcT2y3l+KXTMDFDbN05rVdj2OJFJVkW2iqD+RAH8rjk9hwGdL
MdSPeHIF/OOqA9cp2vFMMrAoO0YqNqOaRQPg35LTKtdlkMRMdQWf/T7WH1Mxx4qx+ax07dloFgaa
Q4zCnpnUVEIUnIsdaaETYeJPJU4unay6MG1RKjFFYUuBVNQQL/uCQ4wFWy2BOHrRVetG1yhjqhyd
EOLww9sbC4y6dK4dSLa+V8RXvac9ZVG+IcR8ddr43k4Mq0zgDSvrC8H64wHc14FSRKedqyzNWOAM
0XXFqO9iOAHdOLsi0x8NBkYIzLEcyjqMmiGESLDVSbEek3QbifLCUCB1FNJVDGTNK4EDV8NKN8Pk
d1pfNQatICLjDHKdETvHk9cZyISS2aUbmRWCwY4G4a0n0akAPp07Mlz8osMODLORzeTaAMxsa4Hs
YwYuCjyjp8PK1PG2TsdV1uqrJczymt+4Y6m46f2hbVtFaid4+HKZbpIpz1TeJz43wGabfGM8SIpz
u2EdPOi7zG+EufZquqTg1Ify/nfOjA56QY/duHOUiRu8ge6vUGWV+Vr86HNeqw4mSRSJ4m3uZJus
m86wsAE11O9QeZdl4jpp+zOc55cMYgs31W4h3ikE5RmIVI3M17jNhXIKp1WZM9ttbfNLY/gt9eKr
zhNXDQTnUMLQTshEcaG76Gah2HGaZ/7EE99p+5ULEc2bNEz1ZGEd6ZDlkCkr6vfjGIoauHXlhGXN
jxHwZCX7LywBGg94O3dlohjETIXm6KRy8RZK/tucsw9dB+ikmaezjE9UVZyXftrgHHJ7+lmWQ7zC
aRH00CI5WTJ9W+o3sPMLkUMgGP5YupGAng5r9QbKW4XtEA+EHAEdgTIh8bLFBUm5y6A68Xpkfi4O
xvKgRA0ODYVPYEpPAxVKWDxhUwJByvuTBZ/EwJpFWd4tll5P4xviXkgEZJkGEC6wMrJMBTyVZwV8
xsjIgwqCfg4EG8YLB5XNaA01Gz9xsy/IxtejyHZJXGySrvcnmV4+vPO/YVrpQ1XAf68ONP3TxuL/
g8OBHoU89ErfvU0MZKBXO4XwBX92CqE3TRBMAKOHoQ9IqI+dQnIE/QhA/9Bw/zmutN8phA4UUGAM
FRQESRIM4LENL44w4jDitORL6A+DbfyFgZBn6X5pixCy4A4JPaYH/rfHeuzctvXUAdftSFv7ZJw6
v+yYgroaTOP92FPTC1Xhl3g1TAYLF3qc1IWXeGrUqMvnfOig4G1K2qtZ6zRkDapDGXe3r0vyXqoi
wAw1hfEsAvPU0E190uqY5lLKKIHXmsfYL7E8GcRtWUxj4FqSrYq2TWDgdzhmMC0VRGP9yfIJ8C+6
iBNdfSnwD8jhjkugiOnA3EtkVRdZqTDOPH8guAjjNHh9w8/iy1ImYgS4p7fM55CFnO4dQyrago7j
QrMtTtTcNQiaHBXMJ44w6lW7kQ2gp0veiDIPtZQnRXqY/wELg2lGyoHfH5Z98jyheW8L4J+pAOLZ
VJeQj3/knlxyUXs6RnGpCmesTuPEmfwJuyGxTJ4OpFIlIjRoapgWSsRlTEzmgy37uAOQpZvTerid
nGxcJa5rfWjsUuBvPFG0KBtfaPnFUqbyrK6ux5ZdTkM3hYY4WNl4Jn7PRBxSnqwziuIgKnik3Dqy
MLopu6CAMemuqvOPXev4eBqSNzqRLwReD4b54CAe2vAMhgSfHARUcfWYZEYGseinoOUwA4Vt9r3M
i0QlLuFQitGfCmMYsM9ohyK5zWHUUQF8ZOvXTeJ5UY7BVsBPgA7AliD3PN2KrTJOiqGWAZIASIex
6AJbT1alhSj8uUmNynMkw8QLstgl0LMwxrek9UfafBwH1r5RCnoWKZ5u5xCrS9JXPBsq4CZODZU/
3OhgwK30cX8Lxei36oALzTgwTQJ2Cckdqk6SHdKQZIJ5HDxIETRNlCs5GqCTNXsrrT/k0UMxFEmI
zBhafhAFn+q4IACm3GRY8nqUqmEyX/A05T5P+tPCAcis0zmwk8DbOsaOilwotvAaqLJiPKabjuXI
jyveAeUsoD3vAQjKh01Z8u+47Ds1yNM+d6PTeUSAvXC/ikood9RVsnaIw4DrAGaUwxmek8FvYnnT
Uve8jzpyUrO8CeYuq1Wj41TJpK7CekyVZYU5A6gr3KQ/bjQgtCiu2qBw+LoUcRHC+FTr8zy6c1D6
PSvHz1qjZidyGGuG2ehATKhdelRcZcnNkFSzEqxxFau62Qc5cZiVovPlUFZvRJoXbZkSMGXuupC2
Dotr8ZQ3I8tyGfA8tyHULKpUzwqXtNoYuM0QD3F14qKYrZiNHcV1wIQ3BTkV/gDL3qgpPqv0gSVD
wONLWxkIIj4AV1zWvRERlPZ4K6BR2o1MFahCCn2Dqx91N3aqjg16g+y+KFS4Lgy8YwSjPwdCEUyk
QZAAoaW+GIyRK80Go0jbnM5Jy5XIUuBS6ec3YsizPAivCqM4MPRAJIKQfBDOyhEGXYYmhfRO++MO
sHQo7JStB9BpNTjSd7r+C69mRw0Vh/pdlpwUUMwTnRO/8fov3EWAnRAMSAhTST1+EM0iQ+eq7rUM
dDtCyatAgx8h4OUxHwsfNXHtz1AW8Rs9tduoTaeg6YwIPe6c1YBKtgJoZ9XDQN7UppvXlfTQ6zkM
AmCXMLIrMISah0b9XvLNklzrBY0HsviMeZOf5/bMZkbRka2gfOuC86B6XRF8DD3UmUX2lPQZRAua
9GFaUBNkGnKUiwZlPaCUVS0/dwUGktrFhZ/iK+i0dX7cpXI9yRm+DYovPgeODnVQFQ3paSNGEULh
9fOU2EDLtlYsu2NokFBwB+uAtk82phs5RpHCji6BuSUpNPlhBHJk8R2MDSEVz3bVVe4Mtx/OG15O
vlNAoQ6ugZ04qOnh/ocD0xOgaK2nNGC24QFUk6Hf1uSXSUbeGDR5KVNwGGdeoirAvGWYeR/MULjD
UfYRF8GYyiHAvQNUGPo2JrlJPK/9GVr+DSzlv+6dCs8Db/nnhORD32ZwF7r8/s6/S2DE9cXhxeUr
flES7sL1Q0D9kF1huIZ4y/jvL0rCvSMC9wVhYANLD+4OLvjo14y65x5Bw5RAhQXw9DJUCKt+URJ4
5Am4yrM3NPwXKMlhpKSSU+Jy6FwDNREQk56aj3WsE8UGmh3emJlbWxCoho1VFbCcZFBWT34MbVrf
Yre621Pav0BPHuRCcRsRwOAS7og8lTtbXo61g2A0Cu5tBUOH26u0mxo/QWU/vJGCDuHNIgtuuwDW
dxdl00UHeyEHVNkPw2Ch0yPADUWR6FXHvPkNVrHseD+wLVLgGqkkiC0HKg7Kq11HeMFckMIEL0LT
FeOKR2626VJabscYpleWNolH1m03Fseva/OQ0YBgGBOkBNLdchOCH5wiHXs9C7jQuprgMkTIY7Jr
nfm0Qn0Cc4uJG7Y13Lx6XeQSVw5eF7r5HK5jLIOicL/uqVIxjVJToVyvxqhJ/KhEGNSbzj4UHeM3
QtwLmoV+KIdJb3g5BpDmqSgp47odHWiDOl2dXHjRhGAEokyOI8qzE6ezX2iGTsQMfaTcMPnGe7ov
WA94IDgc3HTyYHoMP5XOnC4D2RRagzDT6Mc1NASQbbAqhlhsitFtA+wByBPLpFCSzlh5ZnACV4wK
z9knyM6wCCX0DZ28pH5onwKlBLuGQesFi+zZ9OzSuKsqKMgSkssVa+bch6m+Wumkb1avn/RLGoC5
MqCvlJClRnbgP26TjklOkng1aFmdVENEv8aVyL+UQ0NvmgEN0MUa/RqlJYwu7ZymAD7dR2mYNFOz
mgczX2Zu5M5vePWz2zVg9HDfElrI0DfBUFE5NPoCbm1BlxNC14T7REHrvFAT3HKogqSWbqUakYsP
ubbuGR5mrFU92tgvosieyQqP29EbnY89m2CVdfMYajIMgHlZ1s3O672VLTGH4kmhg64VZJdo52uR
TdiP4xhmZpwJ2lMpG+l1NBkALW9o/Lk/Q1McqgTgzUsRdEkn+6eb8SqGrh2cbhvzbEWHuT/hMi06
1VVoQn5UxejHFFVMCetMU4CJiSZf2sFT/QSlZdX+H/bObLluZMmyv9I/ABkQmF8BnMN5kkiJ0guM
lEggMATm8etrgUreS1LKpKn6pbvqWlpmaiAJHCDCw3373tvndDkrZ42eZk1R+6UsOwhH0BthBhnm
8l7F8UtvnWRuI7la7E9iLEjZ6/udm9heqtmOd2sVV1HfZkMTVgrOSmm35UmWVsZHGFlGRfBVw9ma
Wd5lJoZpDFDMoos1Ngoautre5P4F/YAp73rwsYI/6IWvNeEsNETi8K0+1dU6XcpGT6/aOIklzMXZ
PZFpbl/K2S8+yoI+ZaH2idS9PoqH3jpo0k4c28BXH6UTe3RwO+r6ygBjmla13uSma91k2AZ8760e
9H5o/7S8tiHU2zrUZncDyIjSr5+OOdqjnZgwK2PYbzdFvegUkI39zvnza5zarrI1+OiFesCZr69C
3yOLyZ0hxydeF01ieahqx3snGm4/5HXU5yIwq4mFYGi2/Sbb1KpGro09xTtjcvrIzlb3thVmGSSJ
KiI50i0e6qkNl1aJd46431wZ3i7JAFUdZ8BbeXVGX36RovN3o21mOeV8HqZTvgZL26mA3viUtOln
zVPuO594U5C8/cgbTQWnoI2sReny+rm2qSO1NDP9nVnpJvzD2Ys/m2Pb3YkuyyFhtoijS0PX9rmc
yjzUF309rOaypuGTiboLZs+tT9NcX35kgFg04rtIxESNIFdFex2LTDuB6Wder1pSl4GjVPpRy1X5
3Sk06wK2Y3Y5D3n8Dt7165H6M3C6SCTNbXG+/lBzbTZLXQNopbUPvXfy/E+13Xzs8p4A787D3vOt
c+T06YGvzfl/65Gy4eh7U7aAC7y+er5almbprb+DiT0c9K2VhrGm2lBptXuQ5c14UWhlFdQ0cyMt
A3OBs5Tv10I3L0sRL7tGeZ9zN6ZATeM1ssS6uVq46rCuLGfnd1MT0g8WUa3XD4lJA3Eo27tC1vF5
LwCW3onV2/t/syXYDcRq+mN0yd6KPJN5NsZ0dN1dkwj340o4CWLLlycpSrs+WKZWhJtpwZHsYwuQ
pfGP5rKtLuO2Sz7/N27FJBKj4EbrZ72lOM2qME2ZV+yRNm85kIf2bhzWhMb90B15q6FduOmK14aV
lEHTtfS4FvfUMNv+4zs3skW0t89kE2oBPqCJ+mV5+bzNYupSbqRpT9UgjmDO60eoAOQpGRpYKj2S
sDATGCKadWjWnX9gZLBhainsdxbbb1Y6TR0iFfAy+dKmbH95lKamiEuNxG7XdJV5A0PJO3PYqSed
oZqosBIX1rZx5+PbdaK5XfMOjvuboGzyRoiWm0wNHefrq1dN3LtZw9VnP47P4s739mZptT/X4H/K
8r/8RZ5031tg/oeyvJVK/rj78VSZX1f3d0n1Sk64ffdzk1D/QCOPlh7CM0g+OH/8qyJ3KLtBzSig
aAIAoKK6fa7IDeODSfpL4wgLDR8LIhbac5NQ/wDaB9hGKCUto6PxJ03Ct0tmq3FIofhBmLchbt/+
/kVmj5QomZvE9jnepuFgpDTeTfPcRy+ezuXPvfhSNOKZr7coyBtwP1Al6ChtKcCE15dpJ2locCDi
UItxTZDmkM67ohvtNvCmNv2Kk5CmBYvUGifSl2w2dusocz0w+nm+WGwll/0a21IPnFofu52zVk63
X+SQgfE6aNi6VBfzaW1aw0U5NkuxWz1vvrfKuD+eNFPLDxLYmJ/XzkrdvVBs4GiEc1SHXWF0X1cb
G5IWanty0jlrTEC1F/OqkANS4KEYWlh5jr+Arhsgb2GnJ5l9FBe9B//fbcbLzOwKHFjGej4fvcbn
SGhyXzuYgeLasInhLJQqyZsgU2oAml1j2EG+xccL9clfHyd3apJQZEl1kWup/Cx1mpOh6JzhcyMK
awpbS0nILJpaTuGcZObR0rXWkcjg4CyTdOlXlGJcd/Vqw7Qvm2LMA4901A6rPIWBY+fVYqGQHgRq
DUtdl6uHb1FF+EDnQkciaCY7vaotbcohIRQxwg3VJEE8W7EXWn3hrYFs8nIMLS0XkIVycZ8nnpmH
pTN7P/55mbxZjCDZLtJZUnrKKwFL6U2ekJdzL9xla/+tnX/YzasIfDMd3qswN7DgxXnx8zJw0qBm
c3xxgL1ejIuKvd4fOi1cOjUd5dL92I2GiKre6k48jodQxnF8whEBL9A0s9M5zuQ798Cm/+UWNhgO
nT49QP77+haSrI5nv6y10KWyPitmxE2ykyJYrbTeDdIR72zA7cm9/chb85PGCLUFGe3r6/WWOeeW
nmlhXc5wAVaQbWwo85B+lvFOsid+8xbdDZYyIVvwjN+Wk02dxrLzsjhceiU1tCKyu4Ve7sBFS7H+
odeu7BXIP7PzwLG7yyrR9YepKmW+N4vMPJ3XPPWQpVbjRTNy35Bn/d4P6BnKsJ96qszYTBoZ1Wwf
L1yczIOyuVYntejyq1T57lnmVO1P6ex/Dr2Xh962LP7+0Pvpn3c6fJd3rw677bv+fdh5oJ+kg5Tn
JME658AzI8b4sB2A5IrCB/h1Nsnns0WK9YEWCqcC4BIlJXLQfx925oeNRk+KqcP08Cyu9Qfws7kt
8xfbAPAQSgQEQbg5+gbuvT2GFruP67ijeFxM+pEZXLhu1uq9XqXHfjPb30vHbj5Nqd+fFkY7wW0g
uB/kS3UibVc9QKqAH+H27nKl1gZasV1a613vJelpP00KNqmeFdFaNU0fiDgdLsTcnpqlb13msB7v
VCzlZbLE60dNSoPOCe2Us25JSY891FVBZzrVGhrlou9LbVzUrreb8fPqKRo5+sB5UcTl4Qwr8ekt
/mdpv1zaGyPpvaV9Ivv+Z7Pl/AFtwKtFvn3/8yLH6BMKH/kScuvNx4Pl+rzIsa9iZZOzAbvjIbXp
sJ8XuYtBBKsOnxWWIE0WjoTnjM798OTYsnG0MHTD3uFPFvkvSCWtFfiMugBDsOE1vrWvymq5GNJL
MPXR+uzMqaz8o0nOs0Slm4jLbM6Lg9RjwduVNJKdaVdjFwAWAGpO7qK6YNL6uYQGa3yvhlTu9dnI
P8tlUTCnK3vB09BoVTCJtSkB3ErtpJjrb14yzvd4Lzh1pNImD6HNtQ/sxOHnWv1b9fFvSDx4acDh
2fJmHq+7Hawv8lXfqRJfTTMaX9uRd+DdxuNsbNRvgWY28DW6loGvjCONhvUn3ytBS31IGLdrMx5t
zh1/Ed3/aPP8b3BVZN3+0wa6xLy6r/7PR3qUr7cN3/W8bewPNDXIdTZon/+9LISwdoOoCGPDBdf9
6bX4vG28D3ypbbGdoPDgeUJI//e2gU63GSBtOnTHxPXxD86Gt2mLTVK0bT4KFc+Ef/nWkkDJMRmL
rCt3VezQflmHKbJg8csAZbkMBoVXQgMic7wI95OnD5+kmatdjbzyuCiAOXLLkYeubBsEAR7K6Ezz
Tp0ivV+qdjhO08YPO9WcGEM+B1Ib/YtEGPpxUyz97sVzv/y11NqS15dHHBmXh7hS5wzGe8B8Szec
asuQsSHLXVHFbagtA8y6WF7apd6FWjOWwZAZU/DP13yTXYJmA85RrWKIY2xk6jebMrE1rVeLSnZx
reeR6RePwlXffL2c3tn+RNY3H+71hbYP/2L3D/68Si9GvUIf6lubIY5nh1//84f53TX4NFhrbasL
ptrra/SDKVXaS0TyteYhxu6mSOvb+p3X9Dv1JT5tNLgohqnA36qUnbTWqxVmSNR6A8yZojipSv9L
LO0Df2hvx3a4aTsDd4Pe2GercVV68+U/f843Jcj20gDMaIZTBOFzrL9pqTrVaPh1JjWMhKrTopry
s7Wn4s3H3kBeNb3b2XxTdf28HvAcKSA9JvrGr5+rtFezW1UcR+nQLCHQ/n1aJmiAEirMuHAvlG93
QWtbV/aQPY5O8+mfPy4UlV8Xj7+ZR0K7JN2kafH6BkyFv8RqxRItS30M/nxeaKvYWU72mAw1XUPH
Js+a1AHETDNo3eLeMrNHhGGntejRCZd1F+WL9FHYr2gg4LNeDpZ33kj7qnTLU09zztcsf9SxfVDS
y6NqKaC9TtocVEOTBUZux8dI1dLL3KBzSl36YyxQDLY6/1li82o1czNQq/xkG823PEaH4VlXVWtf
eTpXttzkJjOnAsptdo/Uhbp9bbtou9rUoz3fboNspQsS5V5DqTCDejaurCG5j2l0IPzQv3pL5kMG
46/sXNifdLoCO0cUbVCk3iaEmUWYZlyq6BQl4iLySKO7cGW1lRfJjh9dj+WpzMRV1mGe9PTJRGad
LQAuJ1azxTyp5TulQenS3SY/k3l3m6OWMQM3m9cztZbhNE+I+6peYP/mnDcmtKXVdr4ChaovPSyo
aOk7H/sAnpxWpuhw8tHkEwHYirjKAtWU907hnmPofG5DCEByU61nRT74+8X2rp0Y+2Vi+HrmIaxF
3wfzzDYTuVdSjREnz7lhKzrmC9Y2s+bOweqaV3Ve3ueL+VlAYIp8t7uNy7TYlS63YEi13GzvNXbV
adbjj1DMRXox+JgfZK4RDjWUSruCRj6Cn+ystDUDq1v9cN4e8tNjnK0uCzKv8aK0T5YbNzHFTq94
CItZ+XuFSu5gSXU/9KR77qeFf2C3mLs0i+NBVJT3QD9ZaOY9FQpYc5D4k9hB4Fv3U2fS96nsq6pw
7JPKYymgYrNPJh5D6pTrvs25Uobs7oy+5Rw0mplHdt6IMC75baw44pqmePQgyIvUPXq69yJxcTdV
7pEq1zGs5vVuGsWjE2vXzTzU+xSMCrEQH3Js0kdnSdZ9nkwCfevih2Sk48OA3nTnZUtzmI/FVenI
6sCrZrGTSIt2uS/XvR93t2umdJp5Th5Jw59hOk9dZHQ8Jx+KPuIitaAjZQu6qr9dbRaAZstHLbHU
QbW0t/3s5rvZc0hBtaIO3ZKXqbD6QyUk67DwjSuICQLlK3emoVsK8Fc53TaNPvKDp4Evimv+eNvu
Q5q3qAehKo4aFi9WGvOjB99DOpg/2iObrFjLe9kClU3GmYini0b3r8thyIJ87vKzBmiRJnTpH8gY
S6Vhsq7WePTDppu9iKbiuVJodlUh3QCBEexeYMWMjYTVyL3p82CWyuAacXtri+oU4/BbTeNJLa78
4nbaEOkTL8xY+ZjCT7XrDB+Ps9RNl8DazE7scdui7vp9pNwOZ8+71tc1h1avXVP8oi7kT8yEUSVd
ca8Stiwl+3WXGtpuC77IzHKImO1tVoqrVtZsWpDRQG0LX4d6HGzqf9UjDujFhB6g0lRgWoSM1cXp
tpb9fEzb0YtKB3b/muh9gDtqem72w4rxaMLrdDtejd1xk7qmZWf6yj1NhccWrYt7m4IXL/R0rINN
/K41DWaPY1V+L9f0CBMbGfo1O77L2tvWTe9Hc7hty/a2qLZnb1UidJ2WoOyyTryU+6689LGQzbp/
2qd09q7LAr3wkHkySJbBD9uqrQ5rb2RXJDbPbWSReKN2PS85i0vzj/28qPdeteQfRysrPo9uTNNX
j7PloPDjB33i0UL9gBZk8V2xLq6KvNwIA018B+lqDuwt7Yv9LTQ2s3FqupUmg7y0jQNoyM0OSt50
YfS8yzUZ5kvPJAhmk5HvWjgZR5ZKIAi0LO246fGr5qVoh4lECl202t0yJ+ml6ZUizIjfh4Mg4Od2
detIZbFt0JidWnFX741kFR+NVeJlj39SezK6C5HWzLUS/aKmV0Ge2pvt3aAdlhh9BJh+IKfWF25i
GYn0pXnVpoK4OOMX2+c1AtNYZt2XtkhT0GmF03Zr38GSySPLoLM8+Z0XidTUb2fLsk9g1NX7uNHr
r4bmzQeegk6rFZZnR3qW3qMxzT9KXbvDfQYhpsy295fpENjjetV2YjLEbpwa60dd59WhNLDhzxM2
y1jAgFFJUuzmRXRRjEPtHtxdx1m5uIfRf1pvwamuWMGAtY8eLGJOqvb26VgknbzamqKYEGTA/fp2
LuZxe1JuyUbp2RD0WYfKZRvUBAxzHflA0EhOLAPD/66bLuyxl98qRQR/ihG5dM71rlafNJXhkVvH
x3WSGkFfCbknxG9nSnFdjFURZA5c9y0ez+sgwrySj0MtLmtzOGsr97uVFl8VhLJ80dJgXckSsCon
t1Clj1hWF2Er2XCCELcfZAKDRC+cwJa5DMy8XE7mRkfwPuOWUMdeG1U6Uho2HWL/8VPWjeVeFPoQ
9bM9XwpUuiHM9/kYHzhOxby/9dT2MYUOw2dmPxZ5s34bpM/MnvReJjy/vJWPOIrhS9Rsm3ZLMJ7S
BWW0t4uT3zcZT9OTNIuw2HqP6/cWpCMtxZMEB1ndoSrEaflNnlZS6ql5xQjEI1bhCHE9cSWCZvY4
SfrbTFGQodBNGf5zhvgbxQigApQZrM1w2DTeJogz4MfQGQlTIdzxIpVu1Pf4FVjjVZwXm1QLk6xE
0YTS2wJSRXXm9Npnw21uMytFu6kQVFmc56tlkrLlWai3zU7Bj8Pz9lMywSpPKNwgi3dHca9/t71e
C8xY+0K1+4kO1EljePUeDPI41ZIboxt+ZKI4NBJILlseOhbxY91mfZiW8thJGtK0YsR7Qevz43Jh
L6uYwG1iGTVtuTuNITY6a87OrHNTEXUyc9F2ZUGE7Pr8YvHQoQQM6PBDtB1kjYXPlpwQi0zeAq5T
40qOXb6J/4s4/ufH/EuBShfQEIJ8xUW08ItVYVW7tdNJT4scQRIyFiVJmuEcrW7ymNVETw7Wx3eu
+MuK4pIubSUuuxm0vpWoiMFUPVojLVLbk+LlWEcQa9crM8XvquvWr4PnHjUZp0pZWAdj7J1v6aSg
iRiU/ijCvqcAMFbO3C1n0idSoO0ttyQDi5nfz9DmANeo2pR3tMgx6jK3PapE8djU7a1Zk+kMK3VN
Zl5hFOcHPuqfUMqaLIhjX6Sy2I29dSUsUsct3dRWMoeSJLzT2Z1ScEjg2ICBwqj3ZG0ULU853djW
frgK7xpNx/WkcT5hQqkdGhNvu1P2eb3ylRRSt3NmdNcV2DgQ85QpHCg4k3Eano9/nozUXMnEwTAt
urabIfPl3CLyLzHVBNaSs7gQnAo+BoVbYtdFlCr3gzPl0ZZumbK5zZ2135E8x8c0R9efZjp/BLH9
38iQX01fOHiotmlA3VtF83Y3/48NMgH2erHOo7fjjM4q5gI9tO1d/xJxe/qmZ8RNfKDXgSAHwirC
JCT1L4FqUDh0xoA1PuKtjfH/jLg5SJdpFerg17YPkP1vwI0JVpth7faH9kZm+CMj4yd/p1dIFYox
dqO1CaHhJftv6vHRmzpnFvkcDY7Z3WRjvX5Nc5zarEJXYWlNBr37ybwqG6d6oLhxLqW2coiZmcaZ
Ow1fnSQXJ7nMhxP65AkbTxQfYXYX2U9064/W399q3F8um/+PR3sw4uof19rdNjRLNsPD67XGNz2v
Nf3DxnDhH6jrDCF4ie4iIUFaApUED+zNARsk6nmtIZOHFkInBRCMI58F+gzuWh+YJ8hfbXRrjFSB
a/8A3H3iXb1caz43ZLhY4NG1AdvbBoW9BA6LbtArPFZVlKpmxgfDdePDbFEzNjPLsl7DrreOzCF3
9/OEf2iaDNMXB7rIQ+mk8V2tuYeDtYwqEnXml4E1i+aLYWoHqq2ryzGftU9W33mnuNv71zIzm9Al
Nz0YxORHc16rb83Q4QM7yeGhq+2rJHEbh84iTPYZUvtJNor0oiuBh1LMcEJ61+4GUoDseG0VB1S4
Pafi6Bk/nHKwb8HB28utaMVOf+4+JbS9i2DuS5s8Upr9p0xTBGu7Lh4XmG5N0CwGNqdUCvpnQzTm
jzUr3TGYfDu7wqMMZaJZ90UgyOCrUEDpG7Fi8sqg6Ee72ptj5x0V0JdhEyfrrePAgda9ojqrGn38
FpeNCyV1wiZE96HWDIvLMZX3XXpU+bn4UVRjcgAbZp8N+mVNR+nGobL/Ycq1/2xqFSN5THr/h65Q
YCZr3YqoqMlbxjlrjnwvY9hPo2Fu5Y1pUYTLPExBmuby+4uV/BvAfMNzXy8NwPJt1TL+CRGrv/39
C0xZ5Su0GJpKke10fkSfVz/SF82Lnq7yR0Hkf0OfCPz/xeP/5dA6vivRsb3iDzx9x19RxHU+bCMW
xEYofWqE8sOe5Wt4YyAAsnhXNp17jo5/RxF6RNvMPXw4YA6hv6Xp9BxGaK0SR+jGYvn8NGPlT8LI
T9uEl4uFngBacrj1SFM4CN/Ss0Wf94NfG9l+NfRmDJxJyDtPbhn0xEkng7pSjJ7oEMd8rAw9H5Du
q2aMMCpmxESBkgehgY6BW4hGAic5HSeKeZtpEZ+pInVPe0hRZVT6TrZiZIx16QAvm65SMZCdDeNy
g/fFGlMwN5SUSzfmX+reTdSOPvBxGqflxwUCTR02vesw8yrx8Fyf7GK28J6mYxIWMTVOIBqX7saK
Si8O8PwzP5ctKvpIMY7ptIhFddsUtY+10Yamoj2LL9jvagwUpk32geZgz3fQ2J1x2U166R+mZjl/
djyNGR/QJlbiDVyFMiwZJqPh9rUQayzNO68Sg5N+FMb8kID6gfo05XxjZJ6OwVNeoBNejfyI35YD
DL3F+AJlTty7jLtFrKu78m4QTjsFjcgTI7TR9MpdP4g52xnroH9eMAP+gndhKQ/Bafx7VzbNiTVN
touVMTzvUK+LxgowQy0ycnFPu2YQB+JVWTmIplzseI5UthhxsEJMNMMOq6NbMHYNwn+K4UmwUiuL
oDGQ80D/MKokhMWiffPnbDSASGLb2lMte7vWbN27ShOUMaUm+1tRmun3OGZ9BpVTxxdiqgwZxGiJ
zSiF1fTNaGCYBSvUF9YOje/1dKRSvNU4GMPOGb0RjBT5OE4EvT0jedDktxacMAcetzsrlLSYHsZm
mCmITX3GSkK22b7rbHk7Mqqn2DmJBgxqLaYTzLGY1B47D9TDrQbYHo5x2qb7eBitK6djyNRB2qcT
TojWhChGK1eYYi/2+m9C7ds+oY0jjsW/iNZNWmv+Vqe9CLVZ1Tk6P1fu8bdSO8lLDNjYYt9zGL1z
qS15fLVR2Z5kHAx8AD6jxfWmu4XVV5G0hpvtafRcApJmUeFOWujZrbaDKo4zYCPH05pfXhqZPp39
ebT/H58ybg22v6fUHN5hpfQqW9y+/jnOGx8ccsInE0JiM+vkOcpbHxA30I7cJKYMTXkR5QW8Z0an
ovpCxg8/dIu9z1HeY3wRs+JYXcRkvuaPZiv+unQ4MchkkZluEyWe7A5erNLVa01t8lIXr1D6oIGs
aGPI3POPqkViEJgIvzpzx1F7AKnoL3DTSd6zDPpln/jbHcByseDS4SrxplUqsiZnXknr7pgJlO9b
YkRopcrYiTx+R9i5JTevtwlsUGsjMgnIqL/IiO2m1eJSnxxMyo0m0iERkyEX5c/k529ZO78+UeLQ
1nilLtg4qJzPL/d96hV6JQbL2kEf1i/aaoGL0FRVAu9I73VrL8qiP2wapZ0782B/GecNTX2x+H4T
et6iTlurm/XEh6W2FZSdr2/Bd1XjZhk+S0vbdDsQKOesWGLy86IrD2bHVqGpx9rhP18U+eQvzxel
9EYxpjjifb4dBOGLMm4KvbV3umIKZ1ClMtWPcKPH6nVNRe3v/Nlok6O+NZinlvqNgn2u2wtMJkDw
i6TXrJt61aclwNbDPlWAdqTaYDp3uez9BM/+JJEBZYcJfLjifFVna75gaKmEvfGe5jyQiJbwjISd
4XOaG0Z/gDOKda17VclgH3sW6DfdTFo/MmwOsXDC3H7aA7LHN6kps1teVvaRnpB17+UNg2kWsqL+
sMwM0gmn8Z2PyeLLb7R2bOeqt9OivLHyGSTSt5cmO/QGzfma2AwqxQXRT4eb3FqKA6vK1nHvqdyg
u+VACwj0vhy/uFMq1c6YLb8+j4dCfEocV3XhIt3sZnXWwTjwrcKySLpSHyJ9i4J2xyCk4c5pMuO7
mdg6trvlZKIZljM9ztl3xnC1dAydKFYMetrG6J55w9otmFDx2OlLp7EFIaa38Z31CnCzkkVh7lWm
1VVEH0JrorGfBxwW+17UQVlNTRr1VZ0cqRbPT2xkS5MutWuXe+nhpR1Zw7LiwhkP9rmXyvk6Aanw
A6NcVz+Yi9U7xRJFtmELQe97Wcx2HtIeactQSMOKmLKcMasijw3cgFacdBw2ynAAnvegkVF+WnOR
ya06AuAVXVk+Nr60Utpb8yxRhOfjpWrH+yqTSxMUWWUNQQvFFPzYm5vvcR/TbNc647DVptHdxVYv
r4reTU99POJu22RMH6ZWll1gajqiKddbzdvCHJuDuiv6A5ck7qREwTWeZJpvfWWWa3FJOYmRmeyE
dawGHymCO2MhP8++Rya1Gv7VCPOljRw5O/QT50TsEzDpMqoEM6TjfmEowoTb2IoVtTWdzwbMkNAq
Z2VEfjXILTnQ0s91PqJPKPJC20mr9odDnHbo2RSbia2XeXP2uRx5aMgypZs7x8OQwsGq18ZSx7OV
xeupn88YVtai9D9K16fPmGoMIgmrjkEG3dxqYygWz26iIVYm7N1BYxhHl1ZOdYgmOLm3xsWxAgWu
VEPqrT0n7EFrg8avsu81vuJlaParXjLIZOypoLd+6AVMjR7+uxpUv6NTXJ1nluqZ81nC/V2Gpfrq
9av4nvR4NQdzo8VXS5V5F2meuU5g2HVy0wwua5z+YPfgMqrq0pcIgpAad9nVIo0+2WWxXrSRkGXW
7T1bsz9bml5+a8WsHn26tl7gowT51q1efG8kOlYXqW/Qp2IutdME+O6W+mENIy++GIt20QPwG2mG
upsMAz5X1WwExPLCC3V9npKgrXL2CdmUf+mMdtpHYlTGF5gEyEAMNWAsmpTwIMJOKnGu95kJsd/r
jSHKh6Xn142mz1EqBl4M2kpD7KVe1VYkJqBLpCn++rXRHPpgY9GrOzupZoqUtK+yvSqHGbWMqQlz
X41CQ1yZecAE0jNTDOSGdjGCFXqIRka7FgkC1i7rIEyU9Lccr57Kg2E06zTQJh17OldwEB2s9dwW
Qc/eIbs3kGsHvqFSwoAusUMm557v5qHVXGZ7u7W+0+eaT9a7JsUAp3aSMCSkNadoHicmTEEnyu0Q
/y5TRVPuqTsvscrLldXL9JomFbRk2mq9cBZNGWHhjfF3f6gza892G74WiaZfN5pdMAOMJGCbLe7S
N291gQUt/UpjG86pt15IQWS6kd+2OcMmgPavy4o296GqzKyNlEML7njC9woSQN46NwOMSVqgusJL
Lna63HjnVNuwspc5w9NwXOY40JWhpv3F0NCriECDKuyd1gz2VdFdVUbMRCNoCh/x2S/fSeR/dzUk
Y/hwOCRkZIWvD+6VQaOIvTJ7J4tKu5xEuUbTpHn70SysszTrQSz/laT+Jk8Q2897/enIHzHINjcb
DlKVN9drW7W2hBBrN9Knv0o9yIBBag/uTD/PX4fAzpSJEV+aMZsogyClbkTvaXg30JzJdr3foC5o
LAcnub7prDN9UB0muomZoH2DgTKdmX5SOVFTYCUCyyqRTCnn5HPfoWQav34OFBPYaMDu2mQTm8vo
y5zLcLyBscKJtyuGSUtCqwPQv7fSseMgokR2TsiVZkHXC2JoNBt6BxNmFZq9b4jWf9G2/wj9+p9e
D/ms3H+ttF+Ar4Ph7scD7JSa9figegS+m8x0+55nAB19jI6dP2D4k3BmA7GeVQXGB0a3CKZOQurf
5AEkr88AuvMBkdXmvUbLGmhyk/w+F0X2B9gN0ByponSMWbGS+QME/e02pOCyqKM3jxAuRMHwejk5
HBb+Yo5DNJdE/lasQUUCEWEqOwepeE/m/qtQh8uhhmBKOC6RRJo36TqaxxgjdtFHLeBJwJCfzWXM
8qdvSbkMx+u0DXySXmYAdCdu+qMalhpBfmsaR3q+9uhEDamngXQH8bUVRXEoVax9HKtmIdEzFnqt
yMQ3yMvGSTvjIx8g+WzRZtv6vmBGrACeksfrkijI3UJcpzYOfyHeK6GkH8w48FI/om+Aoy5HaD9E
i+02uP4tJFvluoCeLfGYX01p6uUcGuNf9s1/W09Zbzf39jYc3AxQmHMwYHT4+m1oODoYat0ej180
31Rb1jfO5NjGztGwahWNpzCam0e3ChalfeNXm2+NVcR9oKne75iQkeo503h5BO6swwzLna0v3FWQ
TGn4hn4uZRf2hWwXzleM7ZBFIWGV2TiUGAiPxs6oHONHNzKfYT8MvnM8NdlyVDA/q4Hq5hzOem9j
soI270SXXX04LaZ2Wo2Ae6u78pPcSRQqWEsjuTJRyd9mcCvor+vtO5Xnhhe8Cuc8Kfw/gYa3Kgzx
x5tSel3boqYFClN2Xr1g/C/yzms5bmRL168yL4AJeHNbhSqwSIoUJcr1DUJb3Q3vkXBPf77knjPB
QtUuhPp2bmRCISbSr1zrN0NODIRXJKqZkYv0/6yl9aPVdEqgIRVJyEKuT+AUEqMqREyuP5TaNH3u
R5XM58ziGTr899RM/apkRRQU3ZQf3p0KV+6fC1w4H8xDVT7JyYIjESs79C77AAZzrDM97/2yRLaU
jw7vhsn7nrTANgFUYESnDYCAJgR0S+ooOMN4VpBn7fDvFNZ/XmOXA0dGncGjJsJK81ZLrM+thdAm
6v2l74H5KKGxL7XO2Zof+WPeX7dv3X2rQrOHkTtZXVNp2iCclKVSaDGSifN2QsqUh1Qemd2+643p
jsyCfZC5CxSuohCHmlQHdGtHey0Pt6SFLnxiPZhZpJBsKThDOVJdfY5VhKWjVxXoGnNGmanK61Nk
VPq4jy1SQWE8Fi+qEVrgyYoe3ygdDjYU/QeRteWzo/eBMbhLeUz56fFuHMrww0jQO2yEROtcBh/J
6UjyDJ9ix4IEdb5Epr5x9Dbk2l5GiMIgdz4sWnnf26N6L9znHhj/vxflb13f/xeKV1LX7D9f4a/x
X/+1+xlTwere3+HyP/3/tKb+37wh5MRAsfY0SND/e4e7KvVsjiDVQIz73Dpad/5bN1B6AAEBI46L
3vrfO5ycJz9G5o3A5krK6m/d4fLSfL/XOALZySZRASGBtCE/XzdWO3Yz76868GJAe5YBv7Vs7fr4
blCunGDr1fnvVji9YLZbaKuuVmdkCWEak1EHUUiJoQ89Mlpesc8Uc9xN1VwiEY8Cz+02r/YMYUmw
AuT7qdGd92yp4mWZCbqDwtQrUnwdzCe17jYOqwtxJtk1ZDkAOaBFCKJgFQSJqOo7JBMQjNUKNLJN
iuroVcReBQDTw3g10ioV83rIQ49z3ivcnZGS3yOokFjHVmusU6M2E6ppOaBywAE4zZeVMD6ndm+I
QKf+k7wJRz/OcanoH4VmkTERUC/TB0hX7gfoJuZzrRX5Xdf1ysZ5f8GslLElNyWPH1VS8dbKg2O1
eNzkQxV0i2J+VHTMondmGYOJc2P9i7BFCOejrjiUvRBMozrcmWadHmcSACjUNc4W1+viBSM/CC4t
qnsuwS9JtPNJtT2ypa7TVMFCOUyaFk8/El7du0Wt5q+z4uUfFYBoQaQMFLfc0vDJMpi/qajDN5AK
lPIsFJGlU/n5N1iVGQ5DCS3CwaT8W2J3xYfBSebd7eUre3K2MQHo89xEHQZkFezdVU9xIS3VaIxy
jNaHee+OVX6v2uRw8EPdCogudieHD/UViiSguMj8y/v4XXhhWr2uYU4TByaC/Q8IbkzfekPXsBuq
yi/qNCl/alGLw+3tDl7sT1olOJFFP0i7lCLPW51rBMBYN1EQWbGKVWg65fci64qNzMTFOCJ5h+wS
/C4OUV4+q3FEEWtotF5rgoSY5j5O+gwMMbunz5stabqLHr01JWtVVGhQsl2dcmHtZSiyj02g9F36
Shr5oVOcdqM6s350qTTCPMHmlOp3/HI+bGmp56OR1jX0ErKBbY+JELZRwzMF+/ZDLiznd49uJC45
BGgKESkiC+O8vYTLy7PnqQkqd/wIXPRxMdPOF8qAn6Dyy0LscWPhXxlFGHk0yXWEG4q5HkVOwYX8
Fee2S0BXzBiIlAY2bb+5+uiWzZuVz+f1zFY+75YjSrKyhlMHGv6/1PJFd9A0suH/oBVaAtOI/AXE
81UrSc+I5mYdjG0THuZ0/NekOd1GIxfPA5YEkYJNskY+x4Gpn7cS9s3QsCrpi2kA1sbwaq9rS79r
F+1roc02hvNpdtfoSwyYC0HeRoeWW42qvXEXXps5nFzJ1rJQVHA559+h46No6SEzN9ad1FHyjONS
WuHGgryQlpfd5f3GjsY+WGcOz5tBech2O43ueqFX+7j69rs0Hg56MX6ei+EVOXK8O0BQGGoVRElz
Cmu8RBFC30WtlUMkDHFhiNqNr7radw4yxl+jrvcWJpydoVEWksWug9kQr0qIS7iJvuE/aITnF4c0
q5ZryD7vuWF1ia22NFLXfRko5A73PBujjfV05cSkaE7cAKaJY36NyOg6N6vSZqqDsC3VO5HVyWvG
qXY/dc6WFr8Mjs4uOaaSixygJ0MmdQPPOwTVLRxEK+pgqGA+hGSnD7gWlRRm4JKIKVNQU2nmQ6ui
y3V7Z15uGkjWIFx5LUmFc2edLgntKExNGEKBPXbDj1QgkV1CRwpq0dW+QXT2IJyx+gt6svUBVc38
PjeNcG+jOLYxqXLSzsYA9JgBDpbzgdw5ccX5GCgYVld95VWBHjV/q6qSHvC7zymFhRASxZBtbNKL
y14+GUjT033OJfAW5811oRt1Ra6UQWoWabZvEfZCBcyKsqc07Me7rKiQtywGc/5ye8AvNgjt8ojm
2iI1SZJq1W5v2WObjqIMRl5LOB+za3Mv2hKlflNkWI0mzwvpr2XKdNgbn+fdPpwQjEA8dC6CXCj9
l8Z155M35+IubFElmWve3S6eiKe4iOOgV5z8yelc41AUBAO2KJYfDNx8Mt3CgjeKIUTtm2M6HaK5
8l4dYX4vzHx+yRSuQd4uQ2DrkJCyrAGamo69D+yjvjcU0e9KdRI+mt3iBdggZr9Rm+3KfFAfSrHE
D6Ha9r5rKsnB6I14H7tlEvQ9Z1IWiTCgBpw91cVi+/PCufbb04BEoOoBfKZQ8/YafR/rKV6XU2Gb
yyCeZ8svVEL0Jh1+3G7kImUiVVV5DhFuIe0ELGf1KBp1RcnnbCqDNsx/RXXyPNl2Cb0lUfYeqSo/
G8qPOOx8LtXlkGr4RY2hHcSChCQCGjutrB+rCWuNqfa2oouLE0d+Gc9msESIffJsO1/+IkzQUG8W
lr8+idOita2/1Ia30/VU2w9axA7QOQXMRPsftO9/TJ5dHKurlldjguxq6gpqjkExFuNeDNYIfHJ2
/CIRWymrK3sNMSEkJmHMs8UvYt5h0UdVIFvgtpN1oLob7xs73vLqvtoK0CpyEchxAc49H8rMqI0w
VeSO7sBhGAXzaizh19tL6Voj6EJQrwKKTdC7OjZUxWoSdVKKoNVcPJIE0JRqHDX/divXVgV5CemE
QQKd6th5V2yjjZywTpkbgotj6JrZ9ziE4Tx3uKFR1SOXHfWI1baKWe5uN32tg0CXJaxL6uOtxYsG
suoiLyXQsjSTr5LngtPxaN3dbuXKJSPhY+iJklBCDncVMy0Y2uEDnBSBDnXmoczL8YlTMfarKDH3
bWTGP2+3d2VAmTCSLzSIUM9aQlSfxqmBnFkEykAe3XpTxx8iI0grTHB6UQrgAg73TImG5u2WZeC+
ugAA/JEZA4it8g6T4/3uAvByNx+wms2DZS5a3+qkh49YEHDO2vSzzaQeUDRo/ahLGqx7am3DUe7K
dJ41L0+Bd81TyC9rRSAQpzTmtC8qdK8mu502opcr02ki5WUTNnHT2WsR9AzcLpJ1Fq2Ae7ybiDzv
UhJNOw1AxdFCTnnj1rgcVA5LDhTUsKQFq7d6q0NFJqqu4jyo+De/TKvvI6fCD9dN7b0HVQtaaWw+
K7FT7XGZd0+3p/RyMVHlZ29KchopnTch2XdjOkIIGSobTyYwkM+c0R6QKkd5bkTb7vO6LCiid+qT
k/+PCN5/PLGNy2HWXNJeMnLhJnOlctv7ycTweIySKKyCpkn67kNWtGGFlZnpKA84nBl/6UwvL5BW
abqXSSDaaYJC7/bjHKrVoYgm75vEd+0BCnBs2HNr/2g78GYgOEzlJ3QgBwbpPE/trgfBAohP9GRB
nWXuP6mZAqG5FoJnix6FWrSfRkR4jrqbdl9LqxcnI8O6UkROgu+FW9f4boyd+8w7x9cBzrg/DGpZ
gFyqMf4jc4v2r9tTcrnMgQ8QOJMs4rEH9vZ8ZMa+mFK8rOrA8RT1B0rW9a5P2urH7VYuY1UNpLYU
CH6rBr2xBd9NfIlpRqE0fRXgzfccRtOjNlLyCY3y1Z1bkFed622cHpcJRvjW8knCXQN4mPPyvGMN
lUmUbxI0TyxTnIAOhvezWk0++yO693TKb2E2lgdkLvApbFs9fe6ccStIu+y3/Aiub4IU+UZZndYF
6LBM78IiGDwZnefe0NyLZnFP4OWWeYdmn/aghu7y5+3hvtZ5LkAWusORTeiwSlfA5IqjxTKLoAc2
d0zrSn3i6lcQGmpTfxr7/imJU/cPFMW7nVN1FLWadAluf8TlUQPrijcZgFxu4kt0rBK3hRov3Byl
Ub/mhpOcwMP0B4dq8h5YGZx5cvkplh79eDSzzNlo//ogvPuA1QqoOiKZJtSBiRlT9dL0S/oymVZ2
QD1G8VPLqh8iEOJHJTPyPdaoEFqQLthYhpfb63wQVtsLGCTiDbNRBE0ifkZ96X6yzKXbuKOvNQIE
xH7L7vH76lBHVcm0B12Vq8yIP3aDibY25JS72/N5vRWwKm8zysI631BxlI2ihlRIttxU/V4r9I9t
OLsbF9RlUgh+MsA3C8g/YthEHufNGAPsdNNtCKPSAlCuOcafp27uERTwlA+9lZR7GDGAYUOe82WZ
Y/PZTdlfLqjrwzLBry9rK7uD+o6KSdanvx0UnH/cagyEHVephyl70LjVEoBymF+U0NnSwZShxXnk
QytS99AA9EMqYTWfcTwajdAYgtKs8y+G0SA+22TJASmK381By8G2MdW0LIpfnNDngx3WbZRByS6C
eUGz1m3R2okdLz7USftH75Rbb4DLa/i8udWxpGBlP3G50Bxqt3ujMmzfbqPwZEPJOuH0oPi3l+zV
9qjwSOlHIkhbLul3107XRyNEoKII1CGMvhRGpQVKF9t+3Dg9Wekq/O1ojv45LsJ/JtcINZHz9saw
sN1opr2wFMpjPkbOIZvNeu+53YzI2biFFbjSP+TsqSFDseeJuK75lmWnxuNMaQls/bK3bREfXKv6
uWhL9+AsRXW8PZxvWe7VwuQ5KkFiugHpWtLA34+nElWQVCoU97nr4EciiNfX7j7q+2MVlc+KmoCh
WQhek+wxVZr7RFq1FpXfatlRqaJH/EpdUMPpMbFLP69qFMGrgFDMj3MAL7e/9crNS1qZhYOSgSw+
rKZiCKk9IPWXBWYO9tYl/WAYz1TqUbaZcYkuWm1LA1Hu/fXgAJolHUdWl7ri6uByokiLe8/OAkNt
x8BwgJ67vTQC6NIPkV3a95GzqKRO7G7jyLxyMFPyo/hmE2FIB7PzWRmiaimxrsqCeRSWr9Rp43dV
3G/cZBdWwCqZODoGYojN5PCH82YUR13GKoyzoMdteJ9T0Do6Zdw9A5xz7sZ2Se710Fl+5n1i+J4m
1CcVaNPJytvMR7DPfUpymDK3J1lO4mrIJZdLAhEoCvJ+Ov+kzmvLsECXMXAqPGHQgSHCURPNN7AP
3NjaV5viJAH/AUySt8R5U+DtXZK79D7rzSQo1ZSHL0izU59532536sp0cl5RTiV4lamf1Toq9AY8
KBL7vFVC2BRG0x77zE03hk5+72ro4GtRgeBRD4p0na3o1NmcC0TYEMRk5biD5n0WSFPBkwiXAFZz
/Hq7V1fGD16WhHi7JErJW56PH3X1gfegkQZepJn3FECmowMA8d4VZeX/g6boGXUPAKbUHs+bEgrk
pwRVzyAuhoVbJm53y2zoJ1ukW465bytsNYwIC4ArQ/UUuNbFZHVaJcTgJSThtfHVa2ITG+6sCqx6
aP02K7q7Vm3Vu6Wc46Pd2OaHRbHLk0EB8cFw4/AlTiDOzWTE/jTApzaYAVp/tXM0+OXUJr464AJm
Z9QPjFxJH3DUhuxVhsNztuihb0GC2ndzm/8uLMKVaGRIbbzVQMq7cirf3ZpCtbMGocskmCh2+PZQ
o2dhoVB/e5YuD2gchnH4AwQCaw8c8HkrWhF2ST7USVA18MUqq7YPg+WKAFpPFdi2Eh4bEm3H241e
rkIuBW5n2SsKY2tzU2OO+6HI4wSyGS5gEIasQ1OB10ETbGO9X3l98OohjPt3fR+I6nn/JgUULl5s
cSDaSkGa0jWPGrKA96JqcOGJdeSmqqZ/tkYqCOPo6Xs7asuNnWDSxvnqpD4DIIwiDHbpF9ATIMJd
Ax4pCVogR0eryvuDNVlbkm4Xpp5saSDLJHc5UTA8cVZdFUIBL4G1apCDjSMEiBRsYlMVw7UFXGvU
hsZdDkLksS6q8hSHbfSMSOsfUVhbj8s4oKPLIn4w5qUJbs/2JeqJD2OaST1YpJ35y/kcaNReDKjK
cg6U8KQk47Rvpqi7swrMZ+aynJ5KHVHTIh0KP9cX526pKzDCbbIcwg6E1O3Pubb4SLrBc5FnO2+b
86+x7Gk0m8qOg6izrR/hjBPEQHzux1Nm/dvQ5D8mvC5jEWad/pKPJl672MJWx/Vs9FYWqCxvMqZd
vUsxo97NUdXgC2gibRnBwyIBspVqu7buebtIxQ5UaxEFWo25LvpkmI0mC/TUk4JjerrjADXJuwzj
Xb/Uj+asfAgtXDrnetYDNzbaz789zrxpcElzuUUJjVfnlzMKaIJ6hLVM2VQHgxrdnVHNKJDCo9jY
YFcOMRSPYG9J8jHps9VVA4c2tue3W03Xu3sltt37Yih7VHRcZN2sAY+pfpM0dWVXo6eEUSD1X2mr
slpHjl3Wc5pxlc66oexbBdtgipSb8d6V5Sp19VC9B1wjfb3Pl6uBKiY+KGYacPE9LRMUxrlw1ZMX
u9G+1nB33KV1P/pqqBHIo3N9QmZi9kVidsgVRg2FT1d5pHTwoNVa/fX3pxjhDioDlNpB/qyisdiI
ctudljRY8vkpc83mMXWHegdY09wQNLw22NwVsgQNOhTVgvNRMDOth5ddpIHRoNuygxPsgtQXXbxx
OFzGY6DoqLBIC0sJcl0tWoIxZdHqklDMmLU9vBiYvUn3V6qrz5xb+UZr19atrPRpYPa4Gda1lb7V
1RjX7QwtZjU8ooVFzJw0iNuaRXOMnSj3B5GbGzf+tQUFUIEnClBUBANWN36ae14zTgjMFGWVHOva
xt/cI7o1BmOrbvpWl17dfPJNAJuKOgPNra4k1Uu0eETfF3ip9jnu7V3S9k8EoI8S3o9H6h1cllOX
kRuFj20Mzie1aQAwd0/onvroKf8wxvbJDKcvTj3c3V67124lNApIbr2pZMCMOF9SjpMpSGlZaZCT
+txniens7anWdo6WjL5dZNZxTNv6aUE/8kQXo4MIlyFwFGEDp4m2cghX3nVSMuEN7USwTCHg/HOa
jpgoa9lL6TDXhwQ3wQdcRX/mos4+Rt34aUzh3oMGpzAAbHWf2YhD54PVHgzEjI8xwgEb60Q2eDF3
eCDyogV8Ru7y/INKcB+QZDl40toxT8A9vF1Zq400htdPdWFQPY49+1ulx8PdvNT/IGgCkEziAMKe
KVFF581jv4ol9sD0eHB1AkNrzH0FkGsjNrnaSYcMBQhoBFHWVq9hVRL9KjOtUDbZx2Q8v6rurPlk
oy34/bq6n11sqtPRLJ66yjQ2xvitFxeDzDOTyqok/q1Pd0jzyGJXA6/MXOPxEr+IYdmJBoVZLcPu
1T3A/t9bTDCSUM9GyQnkNekzOcHXdqyDRQuPtYqGbqftCg2oRZLdw7++783soQOTYpbpLySmH51o
eAS4iERD9qLW49/WXD+WEG5qFJ4sK3qFDf5xVqMnrTT2YGT2oGa8nZ2nweRl+8XTP05T9q1oql8y
anXa5sjj+B4k2pGn3AfDZX/M/SlTwkAdkcEHkAMDnheSe8oQqx4NC1/1YV8n4cMUefdYq3wYseUW
hX4qFO1jbReIwUW/lGx8iEf0S0T8rGezDlO74hDMfe7u/WhX33vFuBtcKwin8hRi8oKtZXNSuk0T
i2vr3mHBy/ShhRDn+cJzDBE148hGjEvqoQkssGPRxwmf4f2uDQqxMJVQiVYjjWdQMjhvaoKVL7xM
3p+K5gYoJqGjLvItkP+1u5NCL+2QYiCSWIWCaAOmoNDUNECepLkfWUk7W9Grf3BDo3VKxCmZBEDh
zvvSTEau5/aYBqbQcI4K1dRXiik/3T61r1xekqDLjUJSgeTXasRq1DzykiJuAE4KMY+6nnduVobH
rN6qyMqftNqZtESFnpKOR5P6eX+sAQ/r1ORkmG0XxTAlM/dqVrkno8pSP83qauOtcGWWiO8MnqrA
yCDGryKPglTfm9hakJOFfxCjSJ9mO9zCNl9vhXOSbLWszBrnvSKJIAqVKDIoRIv+ZAHtLxq4c2/P
0tVWsABFSU8G/uu14BCljpD7WHEYtD7Y8Hl93nvFRtXk6lqQGlKETqRc32ip7xIk3NiLjnNpigGB
FiG6Vsz+GJU1ujN1dLjdobdk1cVq4GWN6iqAYSZoNW6on2DZBqUjnTkedtQzCnR8nKQb71qtxq8E
d/PlkOhO1h6BhvXWfiFJPN63ZuGiNoE+0IOjqCbKfZNRJT43a/YNG4DmNVu8P61wWQ7K1Ftfp8Ru
8kPmKID1ytnLP2gzAIddUzuDeS+sWkdk1G76z5E6CmUXa+MwBhPunMT6jjajQMDL7pcDGhXreg/q
mRqZXnnPjm+0l1BvPRQXhmL4brcJend5W4x90FiDcHYJZKsR8ulgB3kFvngftpX+Q+Xdnu5EZRan
Qht0ypkG9o3TgMC3UVBRKJGieG6bGTVBXXP23STQ+6iop30cXeAYAA/1/I+69/DtKJ15urOjhU9F
iW7I9p1b2N/zWlU/9djnoa3T9+23uNG6fy0LFdp9LDCy97mzs+9smRP/s0QYIrfMg6HmlkC8CXea
vacP9g8jS41PLc8gCxTUmOG4OqBfhEiigxHY7NjVSwv6804UWp36HSJHj4yZWO5b5KK+NJnbnGbS
vR/RoW0PYsaWw6kW/UMzauKoWnNx5yGGjzBMok/erq01spmO3SzfjG5yKS6ESryl5XXlXSCLV+RK
KNqT0lnFPkqrhU2lWkmA4ksa1J77lzC6aOe26Ue1rcV91bnmRiB0bcsSeCNjLRGOlOnOF3gbGyXv
SnLqTo9f1oQs4yFO7Hgjp3ntUGUXqZDFkX7jbDhvRUQ940n1OBh56xHL6NYQLLU1HXUNH4tl1Jrj
7Y177YwghYqaAr8QTq4fIOqojp1Ft4yebJibsfzMioTMWLhfbrd0bc54L8LiJgkNVm81gOVQLCSr
piRI7LQ/KpHhfsJOmvR6MY9Bw0vvXznG1xvn0rXxhAwDrIYcMOGr/Kh3R2Au9CFMatDO2DXq96zP
4YRUaBVU6fSL+pq6sUiujCZJYvRaACpBb31TgH7XXBsKRysRignQ+ykQMLCkgFfy5wL9aKNj115n
NEWRh8w0YId1zdjVl7bLKh78ttsWr2HOZaK6cNYboDT7xEQTWQMGcDC6NPbHMLIfWr3uDtFC8BkN
6hYb5crknn2NHJh3HXeLtHHUkFrGNI177GF6bHXMwh+iDCQw1i8nDzubjUv06mAbYHdkkZfAbdVm
33NOOi37vxO5dzCtuPZFPVuIO1SGf3vtXllGptQDJjYkxcSpc949jv3I5XYj5F2y/A4YunqM0rTc
943ZHdSOHP3t9q6QRSjUvGtwdZ2ObiomdL7SwFnA6UXpBPQoMskStmHjW2U37KlxKqcKP/ejXo8G
MhmOd4A2txF0yU25utZJmAO4IKVEfm3tRjJasFEzjYeOJHf4Q9vXJKXLP/R8Ug+p5xSHvjObQG0z
5U6vxdZ2utBBIv43pTU5mVeSELA4zscd2NNUpo7OmaGWyM1O1aHy3P2YNY+9Lf5aHPtgzsnRztqv
4ZiewKM8EsDtWQ64JdY/Jq367ujhKbeLZ0cd9lMuXnXhzRub/srNIIUQpGgDWUjwQOcfOUCNihpZ
IRrtLt+3aekdMlFt2VteaUUqcchCFFgxqJHnrWRA3tVSiaiRzO64E0KvgszNtnzTryw8yTPmeJaC
+ACqV0kfNUd4r054NreK9OJtvOJgZ312hxBveKIe7Dx6Slp/qso8PKhtbB10u1XRIEn+vr0DLnec
LFTy6HM4G6mMrDb3GApUm8OGpF+MPUlmddUd9nF6wJOw+tk0hrOR7dpqT/77uwNMFXrUqmA8js6c
zr6ZguRCoQqdtXhGWk1vmw2m+xtx/HxnmdQdsLcgMIfEZ6+OFN1j0VBQMY+wouJPNVaOFhoFGSTo
0O0NBwunZBRPXT3Ur+A0EnLZnVW9JmFnYF5fhcI4NppTYnDmze1AQFYaD33cuTOeKnHU+XVkj+4h
HlKQJMvcOejiGVahIuEZap+wHx9TvAGTKd17eZXqj247Nw0JVoE+aCxaZD06MRk/hWchfd0VZYvg
DFjkP70yG39CcC6+Jw4OijsNPEW1a820Hfx+6ZZTG5s6bkPdQsq9VEc335sIySAoqCjLcZ5y9ZOU
nkJlLm969x53rqy4C60KZ9qEoXockj4XfmQrBa8UxVp2Wm5atW9PHj5QVhNVuY9sWg1lrZhwtJnI
Tr1MmSOSwzwn3zJL6eqDijBRvndCRf2OApKJ3U3S1Lu6xKbrgZIZrniU8kdn6LRjjv9T4dveIqUh
h2L6wNenjwMmb+Y+m8ss3GdCNbbQtlewg4SsEnOKaJKHr8TqdMdQKwWX52BJ0OqnzBCGslPM1ktx
8ELJ05zn9pBV83ykYhDutC5zdnwXsoPIUT67TTjcJ56yRD5OUQ2iD1totLcE92ppAragLuZAdpXZ
l/O9kE6t3ieN6x07Bxe4JlL3oBurnVFafhVjOUkc/Al+IzqFhlSzpl5n1YIemOAXPmFovwvD7gEP
hc+szMNvHwuQmqkmIa/BjWTJU/LdNnVqjCRC7qKj08eP42I4M6KL6kuZVOY3TWH73m7u4vojViXJ
pUm1Mbyi1jFr1DcprslLEphROe5ZUS6KuenwwTVJBE5pBHYi7A5Jpv2Y6qXfCDouYirZOF2U4uGY
Gq8TvMtUGGKIuySA0x/vCiP6aI/lVy3DsaIW9d+WOXy83durDVL2JVTGr4eK7Png4mzjNmM9cJEN
dYicU9l/tmeoK95MntVsLHsn3P63Ey6A+ikOcstL7TgUoM8bLRW4cQgCJoEqbCKYMff2WPZtremL
4122QgzDXWIAQFsnElFfhTcQ0bUm0lBTslTStkoeH+JuFocxzLKN2FQO1dkWku2RqCJpTZJeW5Ne
SxSNtTxu5DvOeUJlug5IKrkfQrtEu38Uzn7Qa0uWLbaqNhdhwqrh1dHSDFE7CYcHT1okKjpw0XAM
h24L+XtlOLmZCbvB7gP+WmPsJtvsBj2ZASxUpQhw/XKO/TIlB1udpw+Ztcn8uwxLICsTCcqMs8Ql
rGFgSoSFQIqWaRDWun5ni9z4VEeTgQcTK7Vzk/rUzyIP5sEKH7Crq/wwwVA19VLl9fYeuTK+qHib
xL0wNqhrr8KwGlcYJS6jmIB4/lVi7PuUWJp6ut2IfmX5nLWy2hSIFlmt4sIYxhwBnTXTS/e6gg8X
IMKdzvWxow5z8prpmEYUJEjx+TMS2XuHiubOC9M97u/tgVqaiR6seghtSaGa48OcUHGQZhaTqr6M
XfqxLyiaAHhEadBpd8AfHkiq2Ieu77uNDXFtxQA9kLVEkB7swfNt3oh6CB09i4OuU8wdRm/dIbPV
L8DSMEU2rS1S3uXzmAWDvooNa430Bq6v5+1NTqGkC7YkQTw0f+JdovvpbBofMyjnWNFbnywDw1Ew
Y/EjB3BP5ijMjzM2jw+DYf02xld+iwt0HSQER5x0uXp/aZV4qFQw/aPAq430oBhjhEoQLod4YZD+
yG3z6Oa45N1eQ1eWkKwAoDkgwWuwa84b5cUYFWg0x0HS9S9llOqvXiSKzxoYgVctNpu9FJ+Md3gd
hVur98o9QtOkXNinVIjWSvskfxZtTpI4GJ3qIdKWeJeFIabuY04d2yGF2OMgWubT98kRnFPhS+44
J8NufpHP+LOxCLrGZiD3Pvxtxxnl3JxwTxl+UvW4i3AP8LtWfIBCkSL41Px0rKo7iAKN66hW9rfH
8MpmhwDM61fiDGX983wMhahsa/YYw6nU+6Pn9M7R0xBq+Aet8HhkngBVvHkKvV8eJDmTBHZBFIw8
I31WNGYpw+xubMCrkwLmjZIQBAq2xaovWZZRQET9CDAMKv9FrPpxlmunwqZr/SJfEmTQNpbC1QGE
tyFVJqTF3mrXZ2qCdaVjREFner+aXtMOVpQUGyv9MktAIM0ux/GNpLCsFZ53rUKeNXWBHKD0kNbP
ZmNru05bVIwrYnEsI/TUyaZkuIh6yhelxv2oaXP1AHYz+Qw4bdyPw2SS8Tat52HpTZ9qoEYM2zrL
Q1ojCTplCE3vlHxTpO7q6IAvQbCALDbp1/PvTtMkCXtFZUqEN+5sHYkje4j//geri7yrzJPLk3d1
leDgELZuQyOq3SENmRbWwW7L2v/9VoiSYVyQsiEVt2rFcPpspKbFRC8IVJSz0+6FjAput3L5cGKm
JVRGiv1AmVxHqIXIPDN0ek7SSE2/NuNinnKV6pK9INSPcrrmgw+DOjGCakZi/QUdFweEAFDKDCT8
3TjNGMtlLWiWsmzuNj5OLuZVzEfSXqUVya2hvno+nXpEoT6CfX7kLhE/QZMZOPXmy14tluZetRBV
7/DHkyQDE2sFDJoNYR/xMO62Rkk2dPEh0F+kRBOFzHUWelmqpBRZrxznovKeo2R6bCLFvcMfwDzi
/1o8l4jSo8Uf/k1Rqvg7NCMCgGWYXmqr0l5uj8qVNY6cH5E9FRPkdtZ8hMjrxrZzK+VY53PjI7Cl
7eIQas3vtiLLqETbQKik6OPqsusqDYbFgvKTnWM7iAZ6e4rzbEtQ4/IIpRXGU56g7Kc1s9BUcZ0u
ceA9AvjT/bae57sEZb69rifTnQ6+ZK/ierixs0jxXUwnzVK64E6lroCezfm66pLZaK2pD4+5QEwq
0R5ro6h/UQtyMQYwszGowSV7u9qrWmMvii7/ZIXONOzawsJCYVQXLuHaUT8BtJtfwIkpXMLqs516
3udoMLM/JqwWzYMHyJYq0KIXr3Fs6L8aw56Xfe2I2d4vQ6L+IXKtmPzGdGeFLFJfmKepnXCX9yjY
5vswzHTh58aSvqbtjJmASYF13iVFHGJxYoAZ9Dst9bAPs6oo9MPBUqTPsN6mYF/y6MMw98ljW4jw
xzQqsUz41D+TSMw5MtEQGXc6WNmXQdTmF22cir/LXi//ldZRkyBvqVojZUlrYDl7Ce8CJflXZvbe
U4LAke13pUpTIWlubIwXG7c2xRlrICs2hPdlyOJfqduwAyqs234qo6cVO+QHkm+RXomv9jLDfIf8
8VWrlnrZtQZrIEhjvQwGvRcghMC1/ppMTTzbSekBvLTs9m7WTOel0KjzgjrSlUetNZPwYADeuYuF
QY1aV9T8j1hxx29lbXYvuaktuwYx3ReX6hEyv8VjJgoFQTVXIIzdLDUJl3IMX+2hsR44XZxXBMLD
FxzQw0NBuqjz29KbHyrK3t5dr+Cks/t/nJ1Zk9NGG++/0Ksq7cutbGs845kBhgCBGxUhibbW1tr1
6c9PVJ0qLOtYh9xQXJC01Wo9/Sz/JUMOTTlKt6nUvyr81l3fHLwkQWg8tSRymhmlAnptCg70SugN
WMdN0Tf0vHs8SDSte037OJsepFUp5uF/ok0R16l1cCSJg1mFU5neByWzi9deLaxPApWS3Ed9M3w/
1l77FoG/ivzCzUBPa7mC/jgFd/TJFbbyYUjy/PP9r3/5uq/jHT0qyOOMwxCHuaEPRNJzxjBLwyBq
kAYNYwQaulLTH5zG/vT7K4HcWRioaGBQ2V9/imQWtS6jnO44YiOXqon/bbusflW9Zs8HfuuZAIjp
KuLzzLjW2I0yjaK4H2NWojQI6iiXl7kKrUPTKX/ef6ZbJDzwWpTJULwhdjKdXaUhmVu5rsIBDaqo
QabJmPM/FIdJP7HBOHORTMfYbJj0AzA+xlEPTzLL90LrjUQ6owZ+BD9AJQdm1LMKckNlAKUbQi/I
I3sOxGjnvjV6Y1CaeFtM3QWitPTt0B0OVth8L/Bo9PPOKy9Saf+JvG+pMlzaNvyauPbFjg37366a
o3ODD+XOLb/xXmgkLeLoSPcQklebNdYOZk4lZ61Vmv5Bxu7feHd1J/jRoX//vWzcNiZzXWBaMEMY
va1yZxeHoQwvoDAILbs89rnFuK9znCONbBUlCGGMvgkSZKfk2Xw+zgBYS/S0wKtdn/AoTIaUZWhN
O5H6Z99qE15z6XDm39r/YSthOdE/4sNF8nn1MTlaa3pxwVJeFqt+l2SxD2CoRk+ynXeeavOMk5Vy
vrH5BtS9qn48K+sGtDy8oJcDMJkyzJ2Tp1jNqZl17ySAWTwOXL4nxdL6Y+1WxWNNJrFzlS97t4pT
9B65AZCXQoR7rdxsR0k00anwgjnVREDTkAF5PLpBMjOwRhNX/lGPVCfCKvbe6ubKjFWQeyKgcHav
36ql5nGqCNrmLeTuU1HggWTGtfuk9EirZskQfcL7SWLtZ+k7L/k2/wNI50A9sZjjMc9brexGyKnI
CA5uB8r9NFWVxnzD21Ob2jq1mPOQmln465F+Xz/fUDOmSYrRCwolTI5NaoffYXs9g65zdgbim89D
FQJihqbKjUC1SRJUi0z3AjOx61emhiUnN9kDGy27cnNSwN5bXDJ4/K6FTS0QEx4JB6sUSDn10mgC
QxvFi1ql8qWg87oTa5aotV5PX3TLQebQm7thocs0HkEZeYFSxPU7b0L0Jqra6lTilkGU6fVj3xoY
ZTdG/K6Qw96cfyvUEU2pEzgrurVGGSTWLGI1Z/nQcIZHJx6993rqKH6nI8vCvAsymJqMX+7H161v
4pdF1xJTQ6WFIN1YFP8M9Udjh+nFcPIkgIeXf5g8U8JpluZRcew/7i+8+bR0QsFlQg2iKr8+rK09
zhJcEi+X+RmiIbI8ugb2MGpby8PUxuVHJLh+3F9zo6NMC0ZfDHgIPVQSq++ws600RMqJL0SLv5eC
+oXyPP67N23l0BlTHyCUMku/L3DCdVIsZySavX6kNHkQthYxelpM+XJlYnjifLEUWb9vrNZ+1WcE
CnKOSABZ1z7X2OMceubDAeN7/VHQXAOWibYqcnAF/6nR/ZBFHr3df7rN47toC4CvBJ6zRqSb6VjG
5cCOWoWSYeQI3urSNR6JPE4JPxKBjmqmRfEFaznD17xQ7smtbMQfurtcLpggkcCs+XWxnB2qLa6X
tpTti6om4iUZ3e5FOiZ+h0ZRvqhWnz+7rYOnNdL1fh3Xw3uFOu5YaJl6tDNHPGIz554HpMX8qevD
k8hhUWdTbR16FURlO7vDRVdm1R+Q3AoR7zyjsoWO5JzbL4nQohP6Fuony+1Hv6nwSPEQ+TupURMf
VR00yshvOdizrl2QGEQ1TTMYLY/JzIT71BkMUUwUvhigmnFbP7j5XLyYqP7/qWlR9nj/bW2EUJQP
kfsF9kDja51Eq53Aik9ypiwMN18qt/dOahIbOyFt4/NepN6ZUKF4zTxzdeDj3EpC3a1JKC0FD9t8
ROwUz/RjJBtaRVMmjnre5gEukG5w//m2ctkFt4LuJ9GbwmTZgF+G1GWi9UNvcduCyc0fq9io+wtE
db07uPaohqhwVtM3YaXaYxXxQehxhi6bGJ0TTLBxOoD7ML8Wiew+thUuCAckn9RnV43LApXppkGC
OdGSx3h2ht9mNC0si4XJRFwiC18PKrIpw0JdWfas0IyzEokWu0Js0mVcl8dZN7ujbRnIzZHLB4rX
7YEIt74iHIeW+27p8q2xqBFYj3GSJUlaDsR20rF7bPH9PFtauBOCt44ggC1aRQQgwLzG9RtKGtdB
Bo8H1ZI+wjUVDb1IjdSdI3hLWWM/Sd6XBMgCOvxzSPXLQRixgs+bWZLhyWFIAq1JXOmDt0WAbyRV
E4ekT/uPjZTRh8az5qchFAk2YYpIGH+A7aQGKhfvynb0ko/3D+lP5Ovqyl8aZmCr6CjRWFpuqV9+
W+k5Sho6wguGFiNAxfs2piAN1S4/FZF1rsrs0pfi1QvpkUTmWz6of2X9/FJN+VMkqw9dPZyGKjlY
avGxpzFetcYhc8azopUnHSljxYNWH3FgOqM/wuGRvo60zM7+blykNP0W2ABkTfpxqwIiEXaXQXFw
AwokkK4d+JS86sxDY1rPmte2R2cBhu7s23I01vvGYB+8ArUyifwqrohJzbp5tt1gcrrmjzBJrXce
sImCpveY8bh16/lU7/IviOv6nyCuB+k3nfddkbSk/LpPpncTZPMfIdhGeTTH8SWlO5/7sZWkX3VF
Q+ByQin1i8isNsb0FA3VwxSG+p9ZmGp7bN6Ni5MdZHSCqiJQp3VdMHZo2MfF5Aat912IfL4gfZs/
FhWIMrdHqVmqme3HtcxORgTz4f5WbsxoF20mC7gOiFoIxausXYRa6FTwSYKUeTA+yPVFC5sHJZV/
qJHL6FsrAqUTHwtPe4tt5V/MsC560uxJ8W6eIofREfXRz+v7+kPQkEOOMsBowRx5r9oQL/177JOB
lkUnL6wxIQ7/uf/gW9EHtD3l0JIFAme6XnHoBFpP1MVBpQ1oEOWucyhjQtD9VX4iZ9YnlQiHBwP0
YpjM6y88UVFy6bje2mj6BmnXxclWQkwBIH7Usxyf7oxheMVA5XHMCnkGcdwdMOi1PrnhCHk1ccwH
W4vqh3leBrdJMZwZZcfPE4qNF8QIjUBUtG9HOxavqLr//sByEVVfMEELyARvoetdamZDKZrKcIO6
17MLIz49UPWh8eNIlw/enCovkaKMOyFl89WQI+tQPKgl1y4d9MNnlFlmN6Azk9LBrG3AlrW1kyFs
fXY0KmFLMa6kytOvH82eZSWNcHADobllAGvJpi06eEE9l+kny0qa52ROvEte9O5HKWqxs/xWN4Qm
yCIwgzLBQh6+Xj+Ufe0JhfWzKUVqhXSMXDJLHkuQEYc2jL2PjkgGsoBh9lUno3tud/rOj9jc6QX2
BZKP23E9/FSqBOhVT/cDI3isxkPHPLdIbhzvfwT3V/HU1admgVcc6Zy7gWLI5rlrChQDPKX9L88C
Xk4DYAZs313tJ12biQZLw1HVOqwGOs05Ri4iLv/hWcCyoHdESguU7fqtCSszcrPrOZtJHBGQ7Y8F
aog7QXnraALCgy8Iz2nRQL9eRHeLFslgouEYF/o74c7J6+yRiCmTm54N4aAZMjYIP9SlfvJAm+08
41adyqyLX4A/E9zSNcs/dIysNFFb5tOIHXSmUjnD8846zA1q1/3W2l76p2lkY+ljqqTOfqJaSsY4
N6rNJyrOzPOx7qkiXHaK8N+up+fme0qJEzdAI4dZR2GhPKpNPEdUlxpqe9KD6WunpugPWe1U72Z8
4qKD0fGnr2T1MklxvPyN8Bm9GZ5ovt1/qVtlCrk2c2NyMJD9qzsQVEZc9bUghymhhwNxx6c55VaA
ojmcU2rqU2t01mFUnenj/ZW37r2FJMxEkRgEw+L6TWe6XtsM1LmF5ih+L7GDONZ29qcm5Ue3c99i
LFJ3gqvN/3F9If264uoAm8IF4KJyD6GlfGSM8kM4+nyG+XWYh1nZ+Sa3km+8N8CAIesLr21N2Ktl
l3RZxy0rBqX4M5flWPsVut6nukGrIibzeJ4b1GeLSfkc2633NKBOeRwNNzt0bvc36PrfNgiEXM61
vrD7QEqAJ77ecekpbqcwBAkiVN/ORWH2T/8fVcfGe71aZfUFz30so2gJrBOiBA+oiZsBqoA2U8Wm
eZ9FU/JOUf9DPYUGG/7eS1OLstu4fjLO7qB4S5g1ynmgEJing700N+6f2FsBLzYQHZ1F4+Ynzmd1
gOwYsm8JVJHmkt5/sDovJl/J6+MYa/GpiTT3s0zbKZiaUB4bczKeSqMwvzN/7N9pViie4kxRDnMH
7OL+D9sImhQCCyqU6lmlqXj9+KjFmm1folATz7b0CZLN4jlJpdSp1iHPMBxWDUULesv44qqy/3R/
9VsRGQ9Jp2VPkEiAkb+2rMgpRGaGGWFAydjLg5dGw0scWn2FUTQMxGLE3/CYuU30ptWLdspC6seX
WlGcy9zWFk6PYIZ9t6BAOSpMjU+YMYk4SMsEY+oO/j9y+64wd372RuSDTEttvJBCAUau4o8z6paS
DkvHydOHl6nr8qdaqbvPnoiRF+nRS3FofAVqE9o73JuNpIBxBLNiqOpARtaz1UzVaJx1iCLQO+r+
1tKxO6T97O6w7zdW+QmB5Et3FuVb6/pQeKlIe3t2nUCb8Gr1Pbcy8E02q3wnqt5+79BNAVouPD2i
3LqdrApHGmXTO0HYeOKoKln8FqcyPVjm6DyMlD1+7oXZ2/0zt7HoMmwBXQQUZgHFXD8cx7GqMg3r
EjPUm9qfXW96X3qYstu6fC6rufghndHeSQ42QjptQ0iYS8MCXbH1mAdPo4T+U+wEiGdHTzRcm7fJ
orfgRpqBtir90lqrwlfpgTkZR9t7RT6kCjAJn/zGZXptOtXvFwy0yfj06WUuUNc1Jiju3DByG8MO
hBeKs5HV3QMOt/Xp/nbf3pysAs8VPT5wXdDsrre7Emac4F1mBzjeibMknziiJHJEUW+kSCn3RGT3
llsd3cbwmpZTZQewgOxDo1by5PUgeFWnC4960v9+ls7nT7HHRM1AiPLne/+lF5UIRSqzMtnBaFTy
YWyZwYpKGXaOz23AYZUlQSdGY/a4njLJxjawdGjswA717GiEzfihNyIDCJ7CelgiPzsgDg5zMu6R
C5f9uk58aDSCxebWpynMwPv69Ymo8nIxVXYAAlo5TKJBDs8U9WOSOf3eKOJ2KR4POAcbCnFo3dms
BPI4JJBWkJSD/ggjL3xUx6xOd4LOxhMtAkDYZDC9J6dbpTL0DPII0pUViFiJLlmS6uceGFFQ1k65
E603loJVy6BmQTLCwlpdrmYXIzZRxPC6E6VEOm+uDziPeMeqnPdaQZtLLcJ2i1cZ8KzVe4qbOGnk
4JlBYSVloAxI4EaDPjxo8Ah3DuNGAMUTzFZxvVgAAWs4NoM02cazaQa4YMOzzULEH+PIelUxvP+i
SU19oGU377y1jckE28hXYMKohgS1psyrGkUT7tQGOrYUwfWAtN1YucdQOOZTLzKJDmZvvg2R/iP1
jORjZgAjxAsmCcbZ8x7izNKeZrREjrYw2yByMxFUjVT9FjGjZyccPt+Peht79LNJRr6MexxCZ9ef
DRVJSBE4M2vITZdgR2wIDiZItLPMw/h8f7GNmEfdyfiZvVlw0svZ+CUGMaPzXOSfzKDBDftC6mE9
KJPSo3OIAcqk5MNvo/5Js4D3UO0izQnC8nq9QVQDnzCI3HAGtik1WM65myc7T7Vxon+ylTB0XmQp
1h+Pk/ZpXYmEVezJfLM9MZ0iMbfI/RPO72/g8oNXQY5CFoI6wyMg4GuYKo7kojBSh67gJLV3oddE
iBIke6n2Btgf8SyiOCLcDLMZaV/vW507o4Vkqx5gVqw8KZ4bvjVZVDGVQsck8xNTKU9uXY2PuI+N
/+SlnIJiNMdHiT7EO0Y01sWzGYdaSV3OiO4IgT6FluG9ksR+58RzcwAUab+3RDwFv7tBDIdpZy49
Xz4+ZxXIWqMuW7ty9SCzaLKLKvzhujL6L4ssUi6IgRpLRni9PVo95x0iynqAn3cPRK5svtlRXfxx
/1FuPxZskinz0JaiScTc/XoVM4+yFDECWsso7PnMYeLD3LaUCcAoUIlO9pz/Nkqc6wX16wWVAZJ3
OtoOYhdK+zQJWdK7jPN/hjJLnuLnGK6f1vUHyjMHqZeOSiwZ4wBZqOFrjtMVbHDHe2uasj45CT1O
asjioakQ2Lu/L7efGz+TsdrSPmagsh74GclcA9pznGBKsvpQdySC1aB2PlgAY+dFb1AiWQvtAJq4
xCuukust8ZTYA8OF/XYSIYUI9UwetbLUDkqdjkFYVHTKke9+VKuyOaLUNB37zFQOdlEXOzHm9sPn
h2BusHRyKejW1D7To0KD8eEEOJL15yFEW96YvL3m0UbTmmVgEjAOgDBzg1GKilk0IeNrpg4RdH/I
SucojDu/dmuqK6tC/WVCslHgQnapQEOjEKlpO+9361EXV81l3giObo3LKtOYsoeZfxBHjonnalwe
DLUzfzuSkugvIGPgC5QW6xGjWrlauRgyBUk7OMdwGqZzWjjF6f5ZXVK063jNKpB4kRBaBD/W50ft
5AiLRl8obQ4gQFcbz9rs/DPEDkW3rsF4GrL8SScH2El9tj6SReZ8afEu2j3LD/vlpkVStg1FbbKJ
c+Vc2sYKT00osArXir2ltuIU0YnUG4gp4iTG9VJ4KhhKNfG+hm4sjn3KREvTkhRX5ZZL3TJ/v5D5
WaIxIgJBuxBwrtfTULpulHFwAlufyke9S4Qv+tjdSR02n4r4vnz1SwBePVWvTQtwf6SzUDjugalJ
RRmeFOckHz4ZYy3e3z8oPyliNydlGcTRqiF9XH/gCX2/GHwgXx6gplNZ1OMh9DodDPIUBnpkRI+z
0TNCohMBeDUZn3S8ISF9VOKcj+jxkii2R01tzUc1NVCNyHtxbJXkb5iI+guTPA3Ir1WetVarntqs
/zoL6BWeBjahD/PuXVE4xgnSQ+SjBRIdNaTYj60GDiVKwwKk/xw/3H/grf2li0ZytlB91PVc2qg7
o5pmOiqKFHogRBYGtB1YD04A40dD28OULi9svcGEtcVbkzkAUv/XxyZjAKiGsWsHU1sW6Ox33sFh
H48xnhqHKDIqv4Eec0Zz1z4P5F8BzBOMAQYZv0vMwT3XXW/4SjRPgTVjqCM6czhMKkySvsk1Hy39
/qXD9Oc54n5kbuI2T17ojmfX7odjNy9gzyGaHp3ZkwcgYGrpe6gJnysZ4o+Ms4fRoFprl67PKq5d
jthupdaDPhnppRzRFvhfpck2SqR0giyHQFkpc/MkUu69mSHjl/svZyts/bpXq8NfaXXMGWNA1Hh6
7cs2Nz5braW9q8PUONSGbj8gL2cdPEBTh/srbwR/8FwIyXmUvDQRlmPzS9wao9IzGychLPdW/dyN
aKtromnO91fZiI6g47jS0TNdYuQqtQIlO2Y27OagFy22j8KqzolRPo/W2OyEkdvyCjuuX1Zanbo8
N5A6FxFhJIqsg6EXA5YYgLSVGciRo2CZK1VF/pdNhDtBDrwkqWtnEwU+R1s3KbeOVYwPhVcpzAzS
PTzz1ibSjWc8tgyArHWjMK7jqDIrGoWZ7FCoUZUCvbRBf2oVaw8zt7kU0WIB0IDlXRsdx4pMIksT
DslmVh9rT/8I2zc9NyUohfsnY2P8Qcnzy1LLAf3lAJa56MDs2nag2Jbz4jlxFTRhmT2bcLCC0Qur
b0op/k3dsfXtvo6fEpdcryuk49dClZeusH8IAP87OdH/42cx/0AnboO60/aFl7R5zndhFKr64GiY
Zh4nt9T1U1Kqtu/C/UKWIhmmd1U+m9IPrbq5uINZNccaB4yzPZVAz9A5qv/MWnXca55ulIx035ch
J/BgvKTWokEIXPHye16RGdtIT8RBVY6X2XO+ad78LlZAVakaBYwJ8y1O3xvdeO71+GVYEM9dlryf
KuXR1orPpdUeJkN9bRzlMMwI0N5/vbfhhWyPxh0XD2wYxMGu327D+LHVS2sOENQPH1F56w4qOoA7
h+j2bltWoUJffIYpEpdR1i9nyA1Vq0OMbA6sJq6pBsRLmIWvWt/YB0eF6vm7z8RtRMsaEBK8lpsO
TtWFiQVRSQ863agDyIQCEmujfLq/ys+0e3V/LuUHDHcyIjoPq4eiSeTMjaA97ipKCDKgG6aLZ0X9
qU1alL/wowpyvanOEc4nfjWXwxl7u/pIXixO02gMJwXLgFOWT+lZEcJ89bp0frYHG+w71+sptWft
y/+gY2ig4C3s2itMr9XCGU7gWkwfxtQesnEDGseRpduPPtiCIF7L8E1zPUVOZtrBorH3Y6qa0kdf
pz+mqom2ezi2B8Xo9QdFz+f3sVcAuvQSmh95bp0Z7O/y7m/PJj+HJtXCbIfptfbhwH93nNLUs4N4
wbY0MkfFSI/MBys0cz8VM4K/rpIc8kWfUBX2P7IveojnIvPJ7Ht/kGoXSGisO8drea83751mClBy
6k4uzOvD7CmgegTJQtDE4TMpUfHRzqL6Y9sjZlyp6j924lTnHMpvYMwoVN4/dVt7QpXGeA+dLpg6
q4taH/ostdPQDigVp6OWjDNmRcmeP/Tt9wpfDSVQ+kVko6gyXj9ip4VDQ/ObQVuJO68VdsNzMYlP
JjyNU9p6v49kYjlc4sBjOtRna4jCQtXoEunYQReHzikcjeRY6yhp39+6jUEey+BZYdKLpvJci37l
TWxoysCAqciyzkdGSRxouX+Z9do7Tvz92zAhuSGl9WREJbrT7ourWMe4Gz/f/yG3u4vFPDKTSCHB
UEPY9Xp3pd5odiQGPRgn8ZViVT9YCgToyBMukLSi3Tmvt7kCy8EZ433S9kdh7Xq52upNZqmFHpiz
onQ+DaTO70UeX3S7NH97EHS91vp4cqei+pjRCAzV8dm2+78dHTnN/7B/GA6hVs3Xh3nb9QOJMsws
aYPMnCY4qm7nqSdjqsqTI1tqUmfa64xsbaAF+XrZRID75pLS/nJ7Yck7LYBhLRidqvVL9OrekUYW
p8bSxtP9R9taigaeSoOEnjbTh+ulCjVHUQJtL+AJhXrqEiBkautiveaE2c5SW6fQXh6LIAJVcj3+
RNcXAjmuEJSapvnOKKvqCZnf6hQBA7yEVVHvHMPlVF+HTe5imiIwVBZy5hrjR7iesjgpebRZpSU4
0NY7JVi/UvG1+SlU6/yowEo8jsLb+wJugyZL68wIYOKSf6x9KAGcJ3oTCS3A6F4+lDiY+AUGNzsb
ur0K3zMyR6jvrds+c6tMteYmGm6+mnloOzpMaB/kO9u4dUKYgVIKIjsEuW11QqpOVsiX8toWVwBY
XtOMdWeFiYxZy50H2johgHK4eSmcQKysPmaktDWYZbUWqGkj/DQa7aOMO/0YUfn7LSTindJwI/8A
Hqxhq4aMl4Xk1PLsv3xoC0pvHhRkroXWJu8VF8EgU40sP8OT4ZRzgGLfQE/8aHuhflZrdX409bo+
yMJpDuFQFTtbffv8/BxqH2RkFlG39egkbChTGWqrAZ0k+zSVbgeKL8PUDdroCbrV99/99q+XW10L
hVpqPSEI38PGhQKl1kkwcF8GsIz/uL/S7Ukl3+fDXxRjyMvWAa1BSSHPC1Za9D4evDocTkIr6h3r
mduTyiiRm4d+KxUkzLTrt+k2BRK7pTcjNtcUj6TkUVAA/3yk9bY3Yv6JkL8OLiDRsC9APxZYECOo
67W8os4jqk016LomNA6DOobf5kK3jGM9oPzj90oTZsdBhDNZGa7qlxSgaRVEsoy7J/7JEJ3KRo+V
ByXMqh5hQkV+mEbX+NqbqVEf5tKZjzGefa91PHQFBiozWODWbiUqtUXiNm+60v2w0r76hFdYqvlh
1c1f0jmUg9/KDkpk3Cs6E4p0EOJd7A7UAbmW1hr6vwrbkkmgr6NTflLFoMF3Mwbzm9V0xOBxmbcc
f/f129TzQFHoGyzM9VUIwdWJmandq8HY5O2DHBOVGjWOv95fZUM2i5i79DOZWNAUWasfxCSnUNHQ
kA9HhblvMsSvRTFLBPRQRUifrWpSUngOhZUesTKroZi6ffveSzuDnmtoTM+JYg2XrAvbd+2chTAD
wVntFaZLDLs+OJwbWl7LYAW7pzX4Yob0JGSltXSUR7Tl7So+MP9w0Rwe3Hk8jqWpzL6l6K76UPcC
u84w9ID0NsK2Bvogg9kePXChF1oi4XerkUm+mGO14rGyQyM/O15LjpC2tQG2IWlOVuMgE2rUVfKd
QXHvPUSJxQIxIrKz3xg4R0LJciFmlmCvCp9iptB8IAhVfTCbMjwbLV1AmM+6/grNZ35OnMZ5U80R
BzK1bovmGDo4hvmolcXFAbXJ7qTpiJUctNDyRj8t1R52V683z1NaiUMKXxWmcJ4V3xurwNy1URXt
a0KC8pKUOK6cp3yie4PCvH5y0X4vgYyAVD+EKXrEfhNLczwK1+r6Z8PLGyouI0YvJWYcSSeYtvz9
A3WbQIDEIQEDtQCiyVxDGwc1S/SxyKbAGO3isnBaj8YQ56+yVQC05F4MGbwp3tnZuCc8exsvWRl8
Bh1ECocbpgVuqYyBPUbz0lL7sw4s9Wi4Rb9zFjdWoWo0cFfh5nNQrbiOYSSZpjKkNEnaLh2Qkp2x
PjBH+7cBophWLN/+wr4k8VtFZc2qHYT52jmIyja52GDEDomdu//hWX5dZZU6ZDVUcUPKGXJR3R3z
eioDz4DPdf9E3N4wPAugD3IFNgwFiesdG9xsUFC+YseyovZLmRi+mRXzISLC7RSPPy0HV4ECIB1Y
QWKmQd22KjpqIY2+nnRwHWZHcyEec/FFUlXJJ6HoMxFBEfVzM6pRcVEyCWs6NgZ8ZiJ1KhU/NRTX
PrWz2X6vqrh/xhcuDh/McKo/efS944OsFLhvFaRAtLxqT/E9OXeY9pWF/tqGcGaPfa2le13kjS+K
07Z0EhbjBfBu1/uXZRhETXRHg8nN3KdpaCPGOM1CrFX14lC4jXJS8omOfBw7v30HLag6FgZjRRKz
JmKJYkhxxEl5dZGpHkUKPZ4WsvpfVlkQgwvYzaVUvH7ACFyvk0zuFFAI0We18uGoGOFeeXGbJy7E
AOq1/4tMuV5FqjKHxGhCAZiM+PNs9e0DOEXxUCIAdMg9hOfuH/sNjiUdPgY1SxcDvOA6MR1mW8iO
WWyQg3y+iFbvy4OWzF8iI0R4m4/bHyuyYW/SrM+wpbz3uMhXDw5YSd9w++JNFnPzqJZRjxUY3g1K
ryL/lpRgmga9PpuyJgOv0r/NVo0/QR8qdkLQ7X4t0YdoSgcE2MJ6kmw3ldOptTkG0tSGYJBF9hxP
if0xtEYdY9/O3kmsN0Ary2QLziHClCg/mKs4QXLThyi7jGg+eSC40yR6SuImfBp19ZM9GmmASAkE
EjQPz9Qc+UErze4lqYxP99/b1u9gYLMk3cuknq7m9UGppzC11bEdAKwW1Z/AtgTkIKZ/78sqkv8q
Ck0ZQAJDXpyMepg+FJojHfzgnO+FOeR7UhW3wZPabtF6Iw1cuJCrlHkUicXR+KnmzUzRkE73bCE0
d8wnof/2bQBciJYGt/aCKLdWd46TxphGCZbq+yH61k9Kd2yA7+zUG1vbS/eafhC5wcItX20vPlie
3dtiCGhw/4GoTngQPdPaaUYwZhTPc2s9jc5gHhS9f7Ta9C/aDXtAuI0SllKRooqyitwaUPT1K9Yn
y+nFFHOsMzSULE4SHot69E6YRu3T2ysZAnhGMBZdfmiHqXkKU7wcyiRqD3nSmzuRYjnY15cWv4aO
FdMdpi+U1de/JqtoffSK1Qd5YhtvVVPNx6Erox024cZJQuMdNbVl5km3fnWNaLULPaJhFaXWa4T4
o+ZjO9td6quK0ew80c3UZaEsLs22RZKU0nXdyxkGKOHk0zV0trzGa9TLky+iMqZ/bT2JyZgjOZe+
jYRyR8padajl4z+j53lnnuA+p9RydZmZAPeiOfe7yBg+y6LXlCfcBFOJUoIoyGBhsnwoXbV8c1D4
+Vv0JfZOBYa4aa9yZHD+sveKpfVVvDwWPTjC0zLuAJx7/abUqlBMdMMwsQFsdqLqdL+OSDP/6AoD
G742dj+I0BLfXCWLHs1ycF7MSql8ZJwZHiXIXFdmLy8yd/TJTzPV46E05wz8FoR0DKf8fiBbH6vl
x9IGpUMD3GgBDFz/WFlVih2OXR0MZuEc4nl2yFqGeSe7W18TrMJZQsSEpjXyUeuhfejIRSAgrQNA
Y7BEO2ocEVelHybTtwIgyf1nugF7LsvR34VYBgZ/QcFdPxTJmNvGC6oJ+eIfVmS3wVyTmmiaUj0Z
chRnd7YaMJW18cEcY/OsqpiaenmqnBur/iuVA7epHjUnr4Tn0Yy5c8lH9dHrlGkvzm1sv85UecH0
ouPN/P/6lwoAdnFPNhqUsR2/OlOdPBsi9j7orS0fNaVkONQaocSIQpZv0DGnt9Qpl6b/BEQlNdNK
P8xNaXyYPXNPFX3rpxGA6ZdRXdCGWQWcYsIO3aryOhhxaYfFZ8RBVkZ7tg4bHwvpD6vAK6C/tG5g
OLWKI0xY4UM9SfGKOnvzgs1Uf+iSwnqpwsJ+QYY2O8Xo6u7UoDd4UE4JTgK4KIE3Bwy+Zl6FuY74
HlYngbDyz7lden5kqOiwyEztPo44hL2GDfxXswm/VpmNOHM2Djvvfx1u0ZGkZ6+6NNKhFNFhuX79
eDhb+uAYfdDPuJAn0m6eaknrCiWNPXXxzaWWQdWiWLQAr6+XQgJVSVoXmbU5c/9pssl4nMrki51X
ezyIm31dHsqmGKC4oiJAlfV6JaTCy7xy8j6oQ3xI1RhXHifLjI/2JKNTnaHUMqKadwwHIf/I1GI+
mcZvcwn4DRTFS2bmkcob66vFjthtrfe6YHYBXRhJ3nJZtHvBc2NPl9LbNem+qvgkr/Y0tWYP3mTY
wXQtMnCUTXigQuouOcX/8X5M21oKThZOz8CRwHesNjVuQOM5pd0BPRFEMjMST2U51U/jsKeFt/4i
l60DEsp3QbMcM4TVmZwtYxziiHl77KjFIVIYs3SulZ0lrtm+MRvNG+a9bQBIaM8k88Y3bFkaPSk6
zVwVjM1WD4lfmyGHSnZBlEwdnmGG5ltVB6fei6SvxXNBozYu6o9NvBTf6vxgdwDPOk1Wlyn2qnOo
U9zyuVmBYeQZ9ob/h7rz6I7byvb9V/HyHL7I4a3bPQCqCgyiSFnJ1gRLgULOGZ/+/Q7bfZuFwiIu
/UZv1C1T4sHJ++z9D/ryoQ6KZOfRszUXwoBdAG0E1Eb8/HltgxJGEIEnPckjiAQThXq/CavhCFbY
2Jn29SEMYkJgrIklOCIo469evYTyc4+3fH1yukr2Zp2AqB+DvQvzSfnjeXBJMwZ5MfKmAu4GL/e8
RyQ8wUeEpciiT2l0LBun+hIALF/gbSfKDfX1uvDS1HDCP4tZbRSXXHYSo6mpjQEyuKZ2iOp0zlHJ
09KjnEWqP46h0rlG3cMkqQYo7G5eZgNENXLsE/BQXFdcKbcKCe5tG3/ujIBXUYLQ/0OZkGgmvd4Z
YK2SJm69zCzsH/wO+dHQ++5jpWtheEiGdigoq8KBc1lNHDStJH/qja4jrEiMCLCpPknJUc0bIz85
gYF4h10o/TtjULDWVeVpUFxJicvbWlqaU1vkhlczC2/yvsUwkFpBmHgxtLrKzdkO950+YOrx8qZe
h0UMO4Kp4u4XzM7L499J9FFPjOqUlcN0kLW08kfHxYepUmJrpy1xFq2mmPCL9D2PdYBU5mqK0QiZ
gWbn1QmIa3PIHTU4IOObAq2hRF1ZUnBA83Pvdn/S/zpvFYqaifeqyBAR962CiL6C4gm0O6aHrQQ8
NNaz9JCbjTAeHxbn3qgzp6coOCZgfQN+jMJhI383rAgv6WWGlxKbc/AFEZ5lPM5mPL+t+7Q0fL3s
2uikqyjcBk1gphSmsqU6Tmjmz9em08S/zxB1B1eKYHEf47oLVLfA2+EYOBFaaRrv88mTEm3CR4jH
n3qgTAvH3sq7EFY0EWN/ssYwThGKUGTU51n/qYs52LQcRzvW5usmnebvsp4P1JbM8loXtpazjBUW
zej9B4lNjZP8Mjgl94IBy+TllfNUPz0bWIfAjF2CAB9XLBHk+Y4t6k7OpapNyXcwnYmUUDfN+355
iJcqzSGVlKmryo1WsIfSqLvqukrryJh10pclQ5bqWl6G8lHrlxh8G6lSt89zdJrmKLEsN6iH/vce
6PC9rAz10WmXtjvqSmAqPopXjFM+aOkIm1vYN4zFXOYPL3fv4u3NMcRiEVYwGgBAJuC8e1HUa13a
N/Gpww8bctKg98tB16T6IZgdycIrMnYqL5Ui7okM1lxzGKbKybxqgjx2LG1dIVMdlP8KGf/r+/R/
wkdOlmwOy6L953/z5+9lNQO8jbrVH/95F39vyrb82f23+Gf/89fO/9E/74fHpuubx1/uvlbtL6e+
+PG1i8ti/W/OfgUt/fUlh6/d17M/HAuAhvO7/rGZf3/kTdo9Ncc3i7/5v/3hL49Pv+XDXD3+49fv
ZY8QE78t5LN+/etH1z/+8Ssc+mdzJX7/Xz98+zXn373/GhfdL5/i4ju/7ZevxY9fuujxF795LL7+
iIvH9uJXPX5tu3/8KpnKbwrxC28Jbkwhc8L5Mz7++0dkAHgeOqT0uJwFOLBA5jb6x6+K9hu3HiJO
MNEpO4qSHuzZp5+ov4Ezs/EYhnpE5gv1oX+Pydk8/mdefyEP84BxTdeKTq5ORzQRAEY8kaWI5niX
n6+3wJEaG9JBelAGDDRc8nZm7JrO0JZe5bQ1kIk2VT/iZ6B9SmaniFyE5OyHocvaj6guu/Koovak
l/hbYEVXJ74aGMkfSW7JLq6x5ZsqRpbZUyQ1/GCbuXnIR61/D1cjn4892e6rpFV30FsXmGV6hBEI
1wohI94IsujxsyAFg1fKLElBpTxu20M42/mDXo2lmyRa5Blz27pB21ofWge+BYWN7A59M/1db1ep
vyDLRwWzw/A6UR6STB8hY5Sq10fKx9QMjWOwtPNVVzR71IX1HcU3Iy0PIxF9MvFGWcV/uM/LhjSn
6WHW8vyEzdh0DMf807gUgxfnNdFf0O6JOlw8V0SjIqJGwwamHMii84FikhyttFWO/SFRP6bJ/Kka
O2xHetXxSku/x58alyXMDjwyWPGJeNTZA8us4wDxCYRdcBJZhORxV3Nl1dU4WwOfUIG1P5paFLuz
rhR/TIrG8WZE1p3c2g28HnPxFSkBaTyrEzWBTjqa5hzdRrGiuVqVfq/y8alCtcdcuVBV4wsJUnh5
gM0gFl2/dBYCNWjBFoOkfYohA1GlaNBOHDoFxW8olE3pZcm9iYvJIkPfys03mfaDZ5mbSLmXBgZi
vL4U5n7GH5fePmhWcdCcP9GE4yj/XE0wDPC9ip33zS4ZcmNwAYthRE4uTlgSr7Z2HWFxn6tmcmgB
cwGCbvJDWSDN5aQLAYm0VNfPzsO/zpbnZ8kFnQGIFU9fUY8i349lxCrmsY1Bd3oHpWhdleYTDta3
8lwlfjmMOZrcaXCn9tq3vkssV87K8WinS4WlKwCKVgEoa7em6XfBkO181uUw8FW86YAI8qbgf8+X
ee/YeNb1fJXTTANchUj1yqpDNAJC1oE0/l/Z3VfdlffVY/G+ax4fO67B9d13dnv+/3tfCkOK//r3
1XNxXXr9Nypc/7p4xe0q/vZfN6Kl/4ZVFxvqSb2WC4wY568b0dZ/A3WoUs+1EWYCRccS+utGVLXf
yKOSL6P0xH9nSf/nSnR+44UIBoh9JRSFtNfciOsLkbcttHzUtYAn0oyx2jVl3XUpLq6D32IJf2o0
JTzEkbocng3Gxl4Ri+55FCtaEb6CQgwZ3bo1BL6SSqsazWzwpQpq4EQ6HxJvlBxiSdvTXd5rahVR
Qj4YAVHkg88XfTc6BM0CO9A9JKHknaSe2N+rTqFoJTTJqI8RtKxasu0x0zNV7f2ylGCbopTyJh/G
Fv/SLqr8wXEqP2/lFhSF0v45Oo22UyPdmDoCGATykZcW6lqrqQMlFAhx1p7siGpSuMEW3gq08vVT
h3S2QDaT6GMNr065topaJRBqVUolSbdLUsc3Ya5KECpfTwKCLU99gnVIMVD4z5wfXcqYE5vJ+ES3
02DzAhHEgsjZK6JuDBvxJ4sRZRvHuCApF1pfhbYVdL4qBw5Fvs56T3JxD4i61YqwLWDZCybe2uOx
t8Y4ziq98yu702/ncgqwCmn3aOvrHB77inlBUkFceRRSV4d92am2oCt2fqgWzXWt6J1bkWm/Bs1m
3YSwKj2USpwDDt97+qtb/bNxacTYigrxpUBQIvGGLrrO73ueZrA1q+PIE/742nODcizZN9LmfCwV
0fMVYS0yKo65WvlFoJQewpxY5E2x6aFe0rwy2UfEwFGLOh5zxo5+irOfxdEB3By5rabKr5XculnU
3rrOS7N5W1tGsXNFXx5RMORJVvPuJSS9uKK7Yoj0JY+Bd5CdPRSwpLwS1/KTtKivNiamV8+bEtHC
s15pNW61XZ7RVNdqV6WeGrdTmO916HIxnLeyOomGQeor/A1LP2eDk/TTFcCIYXr1+sWA/C3JLUqY
1JFXJ1GcJ3NehyF9WcL5yojUEcVeI4bqlseHl5va7NB/mlqfREMQ8QKhvuEHs2VfI0RBCjpWH19u
ZHMZPGtkBbgzezClcAVLv0oA8wF5thBikRRwFkPnvtzUOigUixtmCpIoJFtIRIpz5NkyQAYumAPZ
Lv2kNRo/7GD/xTKmJrGdf+c0zHZmanP4HKF+gqM4ZdlVNjsKpSWBAlP6mRVLJ0kAW1PJSl89SQKd
AoKBAApRy7W0ZD1IVgGbuPDJe33qpyE9Vo4+nl4euYtJIu1P8EZqnmiasuRqksouUfFeljO/szFw
NRFH+KFhfAO1s8F58OW2Lobtqa0nNIFQyFmzUbitgpJIMfOrwZy+BmEwuECj4nKnmYvyC7c5El8Q
eoTbzSU5quTlkEdFl/mynUZvJdOJoQq2+HSk+IkuTdHfK2Y03eE/X78RHmb3KbnAz31fLAm5Dbsk
ZxAtd1YvRQQcU3LLDdC+L+Bz7byXL1at+E4GXXCAEPVbM+YDZFGMuIszvw9750vTBcZbxSxrHpi6
dZARTf1X2u8s6/f8Rbcx/iSggMWQnoIHsT5gdAQriza0Ml9VpE+zjLh2RurztasWDhAkOCT9IBSi
gbSKGtMFikUq15mfBllzsvJ6OKLA2+8M3UVaiDkWVyboVyqWQmXqfMdnda/JUi+lPj6g0dcqi7T5
YEpaQXpct0kFt0k1eBV8W69Y8ukPTYscv0bw7gMnuepGalu9t5VQfTPOtfUm1xgIt5aGMSUl3C5H
CgHlaaxKpUTlfajevXYfgMUCmCQAQ8IMXuzJZ6eVCkEKiVidwl6Gu33eg8BqkJXf2dkXsROacAL2
AEIcOB2pxfNWpNCRe5sqg0/pJ/iTl7vileMcnubBjG+boWneBOP8aKGT8v7l7l2yLETL2Dqx0ymg
gx4/b1mryLLYZpf4VhQlEwK0ifbeWGbja1k1c+yNvWVhq2Jq07s5kdPyUFdzjbY96nXLm8pGz8sN
utb5kgJs+RJG5jx5qYFU+Z7ny+X2421BfAcThBrEhQo50FtlnKiN+GBXNYg4yRcjKvBs7/LZmxdt
r9SxNR8UJ2Uhm8VrY434zBxkUxp5SXzoI5qH/j6GE+Lp4ZldHPhmWulf+jQ1/Wo2i48vz8jlxge9
5YhQjFgdyN36vsJcem6jPvGnwCyPXdSZHpm81H+5lYtih4wTEIBWOLDgSIWg9fm8I4NqjnGTJX6d
NE3hZjJyw+aQT+jNTfqNFTfazTwr0ccligKvxE3peqyHQD8MRTddk1R0XntNi+8RbzpDnBWgOM6/
J0YXVSkrM/bbXE5Z/AjpNnG/t4w2BhdsFrrd5Cq4rtdQw2aZp6VHicfvI4k8L6XJo5KANHx5cPda
WU2hEgczRUhaIcOaH1Puc1ct0l2vgMtw4Ak8R66EfB8H+OpoCkq9tvtZj/x5yO/tQtbeR3HYYL8V
UeF0MaLoW6+qZx31CMmMP2Sl3GPLppbRyQZHfB0jKVnwfx31h8qm+klCNN5zSN4aCfg25JU4QElP
rk6XrowlBUvgyE9Qt7jKF3t50DMtOb483lsDYaKzK2RQxZN91UpaL0qYYD7jx2k+3hhOjQWH00dH
IvdhZ2rFtjjLs7BMKSsrQHAgPLCSzpdpNGYt/J0u8smu/JwS676NdWzwOutjVQWnxFa/vdy1S1Ay
2QFSKlSvsJeGTCtG+Nn9E9nKsDRTEflSV6d+jrth6MZB2B1qnvD3irKMvtSY3e2UoIC1GGEBWEeL
HphK4/PLn3I5yoLsDWoWkhFYmbWoA1qvMgKJcUREmC0fTDAah0io9mjwf3YOg8vT/ryp1eFULloX
JQNNqYTVJ5xM0isDMUh/ip3wjdkj8/Vy1/baE9fBs0FW9HaQ64D25LlIT2ZZaT/iNJ08BAjREAPD
unPdX2TrOISEgzSJWBRKqDqdt5cQ63SOXEa+FgXKVZ3KeubGFpVhHEcH5U4CI+GNFmYCQdDZf2ZJ
oPx8ucNby4ohpl7AXYPM7tqWJ9JSqW4V1nFYq/W7BlT3J4tKrtcHgXY7MsvH2sozP5v19MYJ6+DY
25GTutXw2vQDI0H9FWHzp/zUmo4eTaXlhFkT+dOokMdj23n90DduaII4e7nPW+uX/BfQR5EoJeF2
PujBNDRKWIaRj0JH6i2InbrpPNteplZ7Sl5b6wnOEDRKSnQqCcTzproyQTs1s0K/lqPoRoum8Qgi
KDgmcyy5c5QlO+vp8pgl5cojCgQkRxPMqPP20qGRnDrWQj9dovK2aAblp2wVe7yby7OPVogZyDJT
ub7gR9RTUnUttn++XAbD5yqTVAGAV06qNUTexLvsgLPaXsp3s2usUIIDA0DwGlQZkmsk1CxCH8RF
9X4p+/FdpGjjzgGwEQ4hAwYZClC6EDB62i/PTgBJsqcpk5KQOrSev0uXdP4ecizczIkWvFXH2rrB
Gjg66oVakR9LCm8orOkBzkruWmWxuC8v1UupGXYFuClIESINTWbufEKjeuEASXKGWnPK+5QI7lMR
LRI3aFtjlZJqv8t2YTSuMWv1Y5ko2lHOZ/0Kt8XkrlLD8For0mjv7tuaChOAOzcsZFbyrecflcvK
KMVSHfogqbRH8OuDl5sDsPqdzovHzvkdS+fBjWE9zMuX6+a8nXnU5tbsotDvWQ/fSrXC674Bbunk
i3Fb9SCfZqeJrp0QfmGVV9W7ZZqnvUjxokQvQPw89oV8EXoq5FvOv4K14PSBJaH0NyfLH8XY6B6I
2/7QRVmLSHJnkwJ20kMHX/8troOFm8dO+cfLQ7Ex4qQcnmgd5NNBpJx/w2BxZAGUkk45hnbvULYw
jraTNjuLX/yW1XhTwBOgYo4O4Wl53orYdpFZjBLOv90nqZvauzjKT0VtTJxfzs6Dc6sxtheAcF4g
gGxWV7sGLW5Jh046TUkKmJXH3pF4wkC6vLBvOfX3PF+2hlDAHZHA1OGOaaurFsgoBPOsp3OaA3tJ
SUdPiq10x+5hsxUqp+hUCG702kq7L5D5MPtGOll9mbkVClunJJj20jUbBzC8BZ6/wBvZH2slJooc
0dLUtDI0RvIg4DXA5MTexzAbSdl6vAVFFu90Tcz+enU8b3S1D0KE8Xv0E6RTAv/4rgOnclt3s+MD
U9K/WWBxr1rbHvygCvYE3DYGFeSA4DrCLkQBYpVjTwuJfE4cSicnjHRfHjj1l6Fa/Jf32EZYwGIU
3GzU4tju4ufPTv5YsCwMVKVPSm5m3tQsoWeUjupiiL3nULPRIe4xMrgwltHNWL+GhqBRsjFqnBOE
UvujPdbLbVN1405I9YRvXc0YYSVEGZJtPA3XqAu1K+VmQWLuZDaQv0CKRvlRCRJEi+JJ/q4pY3Fa
Ejn+YSZ2tngTNM7vEFaVt+oip75lpsMBu+Dwoe01KXRR1wZ6DVZX8tphqe6iwrAP+F6NO9gxZeNg
QN0RKwPASOIlt4phZB41gRXEGKynWfVWz8Y28BdFa+zYtXOAoleJ1Eco+Fny/HucLfrgOnIUf0+l
Mv1dTY3gIZotNXY7jFBxM2PKK9dEfq7w5jHsw4dXLxoROotsFOl+ahnni6ZOnd6UlB6HzqFQjk7l
AJ4apexoNaCb/5+aWpcd5RFkcNMJy9E2nu65JtprVZ3Gu3pagp052NgKz3u1LmLMwxgEVomNZoTv
2gdUZeQri9rJmzrqx7/TK+5XqEjgFZCPPh/AvkzDxKE6fOrlpukPWpVEvZfia/l7YOfm8eUh3Nh3
QqSFmeJ4Fmqv541hx2wMeLRj/GB0iydF9nJ0RgRT/k4ryEggdYVExlohPqP5OWlYE2Tue9cpWsmt
omJPv2srLqEz/2lmtfRS2wDtltW4Fg51/QkXV8regaS/USr5Z9KFylctMHpyArHhyT1ema5pgtj+
G10lBkQRQZzL67hktDIl0IEHojWeS66MUIyL4L/h/Y1WkIqHhYJxAr7D59O2LE6qxGnFyldwjOVP
EaOahzvRz+biIDYQrvJPCi3nrdhzgk9SXuBlKjs/o6kOEaivh50SyObO4qEtKiA81Nb0tJ4kDu9N
lntc9/rbKJKyTwiVGX5bBXspt72mVvd12WAdApcAW9+0y29BHzt+p4+Ll0xVfnh5graaAqcgLs8n
HYlVU6o5RP9yZB7kELGfLmlvprmID87YWX9jC1OdIA4AGcEzbVUgaSm6kdtkC5eAvYngyuZI1KHu
bOGNAAtlDIDAEAmpV62ZT0HRogQzJEzTOBg39RzHNxlotSvww5obq3ZzOxRR9fnlUdxslNInsCZo
fSjlnS/AASWOYkhxiUmGsTqKChgO7vp4W3bdck/auKPUoMU7R/3WbQukFtQefCBYhKu9VTWONdgz
q75KUvNtPo7aSbWl6mhkvXVnRdqee/fGLhN27oRyZPcFvWLVydRYKrljL6MIWBz6uCsPRjnuuTlt
DCV5cKw9QQ8CLljL0OOfJ8/yQCvwZ4bjGMr2oeBNcVAqqGRN2tUfa6ffu6C3cgfUa8g8ow4rOKir
tZnAPG0GRvpEwJDklCbV9p0axkV5MvvC/rPPOCP1SisewhY3vSoWFbURcZPbIg3Va+gke7SrjX0J
mAySL6hMYuf1wanJiMlg6oFcfRnECHL0jSfLQX1CiPrvzCvoXviCoP4gNa+uVh2QZpPiYnKq0iZ+
N6BT7urhYO+EtFurx4B6IWjLsNfWxCNTKke5JSl96izWaC8n+SHu21c7HdMDrhkAqKi5AaFczWPY
L20SJLRSYQBzSqz+64IktP/ybt/qCtITOk8aqvpUvM43At6JcpXlmLvEbbKgO4tmb4Oly+uvTu4z
gGMgUcQbWmyUZ48a21nUOMuwdNGcBm9dFRuM0Y76nWnZWmegUWDLCI8j6tbnraCGnDVm1OJq0c72
1SiFyk0gRfk7eOfN4eVh22qKNyDgIFG9Y4ufN7Wgh4QeFt4IjVWYBzM046PEK+RURLK+M0NbTcEb
FMaXAD5YCOdNpZEyWMuEwwSIheqwZF1+VSlWfoCVvBvMiRty9VSjjEQ0R9UTMsY6UawoCdQjYB4n
pTGu41SCP1dKR5LUf1hSh5V7aH0sHDT160LmzGjVL2NXf3v9yPKUgYUCvkFUnM+7G4xxkKbUAjm9
+gKLRZusXqoXx6Z2xp1JFKHpRW+JjkldCJr+E3Hz2ao0JrtLcxnH1LZSpduwNNRDFaqRVwaKcmfE
KiT9saiPsLSGd3bd7onrbG097lf4STy/he7beU9Dp0uhYCK4n+EL7Vp4engDZ+VODHFZWhF6OZy9
4lrV0VJYBeglnuJzPNQYXmC9AlMxDgoXep31Q0Ie6dZYFLxmUC86NmVSfuxHfTjFRd8+6Mmivt7n
F8gKqQARQQs3eTEizwZ8qRV1Qs7QPHW2nN/qZpzdmIP8+eUFdEELBZWBNhZSetjgkm5YFwbHakLW
H1z7STfLfj4uda/UUHxz4Jfy0E8nGNDzj0BLiaZqBCInsgloec4ORlqupUVZA0E7VqZDN5b55A+d
7Az+YLTFT3RqUlzSJotbtQmq4Vbusxr2MBTd4f3UqPJHq6VsdxyUscTYzIBH50qgVHaOOXFYPl+2
CC1QEhBXvCAxAwU6H8VwdsbKrofBR/mwvGt5LXhFYcc6q3WRr6qBsEJOVOnx5WFdH0NPrZIkwj0e
vAuluvNWKyNMc1WBDGE2dXtM0iw8mN0At69p2+PLTYlfteogp5DQ1hLW4lwa503BuAgMm7sOLEiO
fZWuRg/LolseylPSQ1QJoV+k8L52i53u0BbWQ0tWlJjJIgTluOVWFD9/tkCdSIoMtVgG8AH6/JO8
7I9FxhMvb8L6KjXt8Gpa2unry71dD+xTm2SeBZWZhtcaM5E1F406MJ161qiHJZwQmopK2wNeN+9c
w+somwwcyqtCWQLdFxTMVkeBYSdSqBVm7Qdco6hSC7u/Umb/g3h0JbNwdoZzfcCK9kjls1SF0jwJ
/fPhVFFdzYehr/2p0FqEytXlegiTenL7OJ2OSjQmLiV083ri3r6lxI7p4ctjuz5inz6AJAvKyNQI
SSadf0CNf7wdmFntz11rQWHngnNzecrjnUP2ct1we1CYgNEuYHNrxwe7h37KyVv5jh2HhVcV6vB9
MgdBOSiL+NpWeu2QgyP1X+7e5dKhWfLugg3Ftb1m2WAbz+uRkoyfDtkXLMkSr6nqD4uCuvPLDW2M
I+kiQTTGhwZVmdVEapU9SrUyl/5ESH2d12bpzqE0X73cykZ3DADRwlSHJxkUgPPZWsJRNquhKX20
gsbPoxZI18TexUEupHTvTXLZI2hlyO/SH2gUoNtWbSkpBvdzUviRhEORbrWKCxgy2xm3yw0HZk+4
gBBdk2FfF+3kcpZjkgi5X4c9rEOlQzPb1PxRV0KvlYI9SeGtTgkSLypS5EGwPDnv1JQ0VVrw0vOl
cnA8QEPhKUunPSjwRqd4uAo1QI2dxSl93sqipMmSR0bp92aKeNKieUmqX7VdnrgjWoQ7Q7jRJyYZ
MVyMl0UEvAp/0QRAJsVQS7+Z5OWd1pXQSR35tbBa8cDSBNqVSJAFsTaS1gNUBZVaKX2MnvU3Y6ZM
n7RS3vOMuFzgtEJGQLgCEJzIq5s7mwsEvjodqsEiBycYUKTpEcn3p1zbVR1hEp7foaJDFBkBoPES
QmlADOuzmyyRjTpNJbn0h6rpXRn8H3X6fk/TbmtyWN0AWFSALIgHnLcikcg2simDpjGOiqdWSwfh
QNorvG0tONyJANsSJiOQsAo9nKnkFKicwh/T2v4jmlvl2M+OeUydIfUaqw52AqytXj3x0rg1yM+v
sahZr+RprS6F3+Ptd7ItKfJyLOpefTfh30r2gFgVx0j4BudjN/UVXktjVvgl2KJj0Wbg9s3S2mll
Y8lREIIwAXaAy9hZzRDCEWGj4H3oR+OAfrte5MeFYQNw2r1aTI41x8NRaMmBfiSbsOpRlXVxLiXc
EmRoO9dObEDK2mdqtd+aKPuZZ8Nt1Bfvy9m5reJmpyy8MWfi6gCxS+OCkHk+mmMTZCPJhdJ3+nD2
EmWoQJwWe13cGk0yYbCReRwjDbY6YFWOxTbQS1opEWFoOg5YvETexXazd+xdhk4k/3Ev4730ZCCy
aslZalOCDFH6wNCjU1D3Bqx4rfeDrE3eaksIcx18xxWwz/D3OtP3VCi2hpOaPtUOSJpQtMXPnx0f
UHqtqu7j0rdKZ0bmQDVOFENfqzQtFgwJNKH+TI3qAo5LoJHLxgBLKeqM9iFZJEDeMRaCvGRSLXeL
VB52tsNloCac1tEkRWyFY36dUU+VvJAQtC38rJ3rW96HvP7CUr9rFDwAXFReVReAQb1nS3hRJRM9
RdudmJtlw+NptTyNKWwLKYg4wqaF4lQfSx9DhKJv7EbVv+PKELt9H2kPXVw0KEcU86celM+rg1QS
Ok9wEIJF6o/imH02p7Gej0ovO7mvdI50k0xJdqfL5Lxbo4M/mqjDHYiA12IM6DgYPXE7IETI8b06
EyC8d82IEqLfgBy7wjLJwRU17HYix43lahDjC3ISXH3uo1XXOK1tI1dzX8by790SVcg8kVk4vhyf
rt+loi9MIsJJQq4cYMB5KxgkFn2Rjbkf1F18Xy6Veg9fFWm+tosO+BmOblJHklvWfXh4ueWNc0cI
Agrotca7eI0V7fJeTbSmzv28QgFa5qHkphomBIsq78lxXmD9nnrJw4ndD9+EYOi8l/xXwENjlfuS
aX5XquKNIXV3Xewckqx5ULvhyhxzh4jCvq7n+pAiL1dr4VVTlZ9f7vPGnJKWJmYmEUlCcJ3+Vos6
LDouLb/vG07AvMjdLk2XnZWzMbJwgHnti5cU8OfVOZsaKKSjnZz50mg2VxigtFfFOHyWMArYmcON
KIYB5dUhcM4kwVfj2s2ZVKQFIOapUGK3tVCAAcXizjG698WrS+LMoiDSsVgJMIhjVkG6FkxK31UW
2q1NhSFBXTR/6sO47Jhubxyn4hEFcYVLVzh9nK+V3ArHWFPS1DecdPoSTWp7xPO7ccspcW6yelBu
kiFU9rigF+oyonP0DK0+9BAIDFcnWbQ4SRHB2/CBpJYjBjxp5ucwdq6szOz8JAnHY5DP6rtFyRUU
jxdKzriQn8ZWp1Zr2JkXVouGD2Rt7UQhF7U3vozbjJqveHmLUsf5gMwSstYgXVO/1MoB4Z/ActOo
wAVDd97YevI2COL4pMrhvRXlb5JifJvXtuomxvTj1ZsHzAd5QgJMAuc15ippCn0wavhpktkpN33r
1Lg59MPOgbixRcU706S0xxrgOj3vLanGqTcKKfH1emxBRJvNTdAZ31/uysYOhdAoplpogF5oU7VF
Zlf6bCZ+ANruMEXR4jktHKne6Xda2tihlHRYyFQp2Txr0LU2Ab9dkjnxzWlJvTDmiGutkNkj+F8+
L2G69x68yM2zXKBLYVcsbOlgqa0GsC3GFEFQWG/2gomDoU2ou+ahFL/Hu8TwK2fKDtIUN4c2sx13
mpG5auYy8RYzzndW7tZUopoj+MSGqGmtdrIIliYlyBNfkYfmuJS55EmAK18pJCH6K1waQL9SeAer
c75gbCsKs6iUE5i3ZXjqc2xCHRA1h1kv5J2j6bJDTwlcMgfCaZ49ed6UPEf6aAV57sPBkq71YPrW
jrp8vbM2xfPp/JlNK2hciYuZ4va6Q0UdaE5fRLlfFSh8eONcxfU7nVhuPsIzC1qvGMsuOKbRZIfu
OFRt7XKlqvcCUQ9GNhiXb6R/s8FrQY6r5IQoiB0ifWreyW3aThweZfXNKK3wR4pWPCxcKQ+628Vs
+/ngEK6aXg7c/gc6xPGHMW8mBK3R0xtktblPk7HRUHfVWuyksqbI/dGalxB+FAYAVxIn4Ce5a8fS
b4258WgY19hA0b7UGoATFAm0/FiZtfw1RqT6UZp1eT5Y3Thpnt048reolmbl2GV9cKVLxlIf1arM
F3dILdCbKjq6ro6OW7xz4GzE0Yw3Ty+OAgHFXSdaZ7lOkk7VYIgn1fJ5aBzzzzoxcKdXcLir8ki5
U3LdPgFRVG+sAkstxU5fW5AlkuUbyBsC3SO3sn5D8ATNVIThuXLMJTxN6iD8adDS73Rr77mytYjF
wqKgRYN4cJwv4n7ELLF1UD1QaxNJ4hnTPx4ar3/sOSTqqZsjbgAJbG0r5FSaUdROk/lRGmhXRj4O
bzOodTt7f6svxJPQaoUiE0X6877oYcqQLiMkrqr8gHFb6AdBLu1UHC4vC4RjnjWyGrBIneMonWkk
jRPKnImd+lVsRh618z2S02ZTPCSF/jVP9PXlV4RLX1rNkPlDKLcQxPAFDgCsuv00dzu9uryY6BVo
naecLkWK1bG5gNaZZTNjgnBLvWmrToVPW+ayl/VNFblZMe2RXi4DO1rkTiehI55U6/AxCZrYaRJa
NOpWu7PI+nvGPFqHxhYamIiznIZEe32uikbJvwreE3CXdViXpgm5TCfKfHOIx5uh1GLqsXHFJTzv
FWw2FiMEExY87zlhor1Ki9nTOCxF4aT+HOfjXYY24te0tqTXZ2GpQosimDB2E8qu52veanPwgY1G
M4Y6vlXbsv2zK8J85xbamCx2FFEEbwuok2s4UpvnxP9QSfykzEIvqmrluo5lZfKgVSt34xCbh6Gx
7B3I3marBpc5jyaA/evYH1Zkb871nPoh7LRTreMrqnRT8tYMUvlUhnryyVwcw3/5wt2aN/pIAQjf
c9Kaq3lDZlsVianU7ypluIqdLnBrK36tQBknvEIZiqQpsBAu9dUpwlDqSlt2qT8udfhmqoIsd0tj
KHdORLFtV8HDWTOis88SMsjhmvqE+J5vdHZybRLnWu7U5d/RlUlP2GuafpY4EB3mPLJvtC7YMwLf
mEFEOikDA8zj/bvGfrW45QVRHST+Uujd2wGRL2/SQ0xaB1yRh1ZvrqU8Dz+9PIMbTySqiOROyQih
JkZAf97ruJ3zpKrRB06NIa6PXDTO27hqrFMUtNrP0bab70MjW7eEVQPy3cl0FUmS6puwHO9kpEN3
VtTGMU4REHAMPphEp2vkf87ZqU4S2qRQ20cPzmV2LGZFPtSRFu3s043FiyahUDZh8QLRXZ0GuR3M
ajbxKCOq6NwEu4BjkfR7MdJWhyyRn0LJF8aiEJl+vqr0WG7kAOalH6QRjO5lqU6FnNhYyox7lcDN
DomCLfEvj5e1bLBVyoFSGzQV1c6X0LSLGzmO9ghfW6sUYASEYu5AsFqrzdhPEaQXtIl9zQ7+L3tn
thw3jq3rV+no62ZtzkPE7o44ZA6aLdmyXa4bhizLJDiPAMmnPx9drrOdmWrn8b7uinBV2bKEJAgs
LKz1DwLYeDttm2pObux01qI0cd1LIJ/nbmavPdlq/UVSxHPRDDqcxCwu6xHL+gxxgViF6Oqqt5Os
2/c/3wuvnOu0AzlkvxVJ0Rc+GoUVYZslF07PEepNjtnXfZXF6JugrzxEQ2w5ZyLOa48VwGSlmwZv
GjTh0YBz2wwy6SicGLW/dzS732mzfk6Z8LUsnZsk4mZMHWjc4+pDoemltHOZ7YNCqis9VdOlKg1s
nZoxv08SKNskMsUliHLx1PeLs0vScvkuVP9vFate2QdMLRprKGRRBjkWWuszDKf9JSHO+Iv9IdDw
6mh1hCu6WJ6jU7wyrWw2h4YND73acx5O66hGNfnlLPZVrVdPgbBZnX1QbX6+Wl4bhWyM5pkF5x1n
usNRMlOB4Z5zxGI044+2BJhpYZT06+EQtA7P4LL2kalbP8QPZxKVZeocVSr2U55oEWU9GVWGO4el
iXXCz5/ntRcEGhwk+orCP+HTlIuqMMHw0r2Rap/aZIo3Qpn3Gu6w0f9iIJY9Q6xWMicV7cBq5Owh
TFN7bhLVc69vMb1IQyP+ZV4ImQPUnW+lN/rhJ3os+NyZCCuYaODYLfU/vNJ3tpb4258/0CuJA+JT
lFvxZgxW+OrRS+ocWZpA/vb0AZGNgD0Ri52HQVe/5Z1OWzW73hzFAGCWUBWQPLiMa84ZDtFJ8OLu
Q+Vj7eysnNjju+kKIR2Snv2FiGb9RsisjyTg3ZBM0duUZRWfqdSfLP91PMD2a2l15WAdhWScxzsk
r6psLz0PMxtdjaFvD8mZ9f/KKPQDGAqc01plPlr/touqLhdusTcC9dxqo9zoRheHP39/3xh+B5kf
aSo1P+4F1BlBH62dph92mT51lJBFK/YatYSGHkAPJkRD7q5Ie+utL4L8zlW4JJt2p+29zBhFWHZm
eeuZyAwmfY+7SWBInL36pA+LFtXXzlLTdgJMiJObpm06kTpR2o6LFnlWO99rGNKeSeROtu/6DHjo
0KLhvkZf6vAZSpQlO3NgpmwMRPpN21Y2WbLvFiKcSGg3Z6bspPlmQFVmQ9ES92gaH7NabGHnWaIp
lFlME42HZG6zrR9TIr3SqZ3EV723gm6LboJaEE/tl26Zk7ugVjXKNatntR8b/hWk7epL6lravp7N
qQz7xKlvReXJuzS3k+04xuK2XpQHqnWsQol4YFRZi305DJm/r6TeXZTKti7bWHsCVX2OT3+69nhE
pB2gU0K9Isofzqgw9MoAGYGYU104d3PeZ2FuN+LMPvrGOjpcfCitkXeACAdbC2fycBgXVyejyMZ0
H5siCMfF3OmN+TZtB4DvwYd+NK9tL75Hia8I7dLecSu+DGw8wuOqi9Jqvp8q+RhLOhtKV3rYqW7X
FqMVzsj11NZ0pvRxOidrRWrlppBgAjw82imwvwPNptm4sys5y7Cq7RIL3HHUzqyv02jGOOsFAAAJ
7M7jlCXJkcxAwMDHg3qx3mGeWn2uKfuX9OqL8u1CFffMgK892ErroLkJGoxfh28h772pGzkadnEg
tcsg495lTWnxqwkfuLkV7bBy69bu8dGScgIBK5FmBxSHTl3iHCY2q9Le/+ZZwIqQoK/VgGNOuGvV
w9KUPEs2zOltorcqbMpcnLk+nQYckizwxOu1cXWyWF/hD0Ez9c1a5gpmyNA27cZt01D69UsFQOXM
47yyFtZsDoAeImeUK482yGAlQ532vrurkmS+Vm3BFdzyuHtIR71vZ/fcvn99PM6aFX8IAvzoZBO2
M5QtWdauhN3zhxoR2sSTcg4HhDe3qjacDz+Ppa8svZWIByCVcxsO+tGeWvJqMND1cne+OZjXcepk
W2pG0+7no7z6ukiFwIlCXkM6/PB1Qd4PkC9bn8oCPZSCSbnorXlCI8g9R6h/bQI5iwicK9INuNLh
UNbsIz1oLVBcqP5eLUtrvZET/Y7lxumyc94mp7O3ygciA0RnnSB6LG41CKeurVhYu86c3TDtOl6U
0qwzKd7p7K1tOFqqFEM57L6Z0fyw2Gt8NSeGMXd+G3xe3NyIHOq0uw7KyZk63mvPAwDCJjvmUvjN
+urHbTXgEU1EwKKwC7QCoLwzbsqkiH85EPE8gF/pSfOaON4OX9FsJbpKEsukDZ1lochH472G18vj
r645YEC0Z0CtUQyFB3o4SoAEZVrHCrvFGflDtGjELmsc/V1vOvGZoV6ZNs7OlWQL/gBn56M1t9iI
Idf+ZJJ3t5e9tJ3rsfTOCQG+OggvB5A/zsj0NQ6fZ2pjHYliBnGLaqba7/lXQmnnukynJbk162BF
k3qssIrjqmolCzRey9LAKbbqHrt0KBBawZQ4fcBjTmb3Rqz6Psz1BqdxL64aPWzgVieX9dIvCE0t
yH5uF9fBv/Hnr/P08cmCvsEDAXSu/IPDx9eTclACbsXOTtz8pQB0Sf9fb890ik+jB2VznUr2Sn+l
7X9UFAnKuewLp9KZZPprvj8jM58UNzJtm8gpi+7Mzn51OOicdKbRtgIWePRQGfbn4Fb0HRtmuawa
29wJF22mRJZpOOFoeCYOn0ziysEhAVhb76vYyBppfogkMhZ2Z1e2s7OlG4RA+qutvuAE/vNXdfJU
jAJMlFOZqxlsw6MzBSNaBOhGXGf7WXyx5eBFXT/byAcMz5rmlGfunq89E0UKrgIYOlF2Odp8UyOy
vu10Zzc1dhGhQt9sk8D6VbsoTkiOZALJCp2mQLF+ih9mroWpKBrNtndB6ib7KaALYMtFXfaNB2zU
Ts/JcJ6Iz38j3uL/y178JipxtBLFSNtmRC91l7UxncRmkUOMf0hfdDg328ABbLtpUkrTJvru/VKY
Tth2ifqAGYeTbZCeq5vIkqY5Rn6qBmNb1IZmcXC09YBl7gAou1DNfK7JtYbug/sErQMuLmDZIYTQ
nD9a0GNGJpUZrb3rkmL6WAG62M6V5m6sBiobukn+zQRs4MwV+jRmfRsVlWEqICuZ9OhAGSd/0b2E
+0mypMVdPcvgOkDs49ovfHmRtthHhLlbq42TNFrFHLj+jkJgfWfXWfxZWu545lr1ypKksAEeDeL0
KuZ8tM0SdB6knUHUxxnRvptREcLabO5/9RjlqREMReSEuupqk3K4JCmXDXqmDahjDPZ8Y6vGpYrl
mb++vYBYcB4YqxI3VdyjUSxTIP6R27sZE47IkShgjzYr7Och47V1g4oCIEWu9pCjjmbMrPTcs5Rv
7TB2qOOo9ItpYwQQpcIOm/QLrkT2JRW9X279rqVvCGaQYjxoUscE8yn3ZqOwyN80GokhYAQIu0PQ
nZnCVx7ON+lhE+GJhgTewylUlT3q7aibO3tV9g4MxtkitmZg+c55HgqCYggyYfjw8zldw+zRXkT9
gBUCKomM+lj4z50LG73NmYTBmJJwnKfiMVOTtzWa2aekFY/4wsb6Q+zPX38+8PqyTgdemyWwP1ZV
zsPnbQ0P3XJiD1nx2G8HWY53Odr0l/PoGmd22rcCxfFYaAOsNxhiDuoVh2Pl3SiacZyNXSV0eNZd
2hQRCmw9Tz01Wr6JKbk9p5hKb0Bs+1ua1OPWzbzMjvAOH7ZIynVXHBlelA0UffrMNq47q+2uiiTF
+8UbkPvFEnEXjLW4btklYTqbZTQKo+nPVKZfCRo0XkHpEjjo4B/TzgIUunTej7ELnM690KY8i2Ia
J2c22qujICNiMsJKJjmar760daoog7HT3O5N18fe/RBnxpmVt/6Qo5fCEbmGf0bgLDhKAOqeguak
j8ZOaAtRV8jPQVOaSI7Jy7nnrv7z5fbqI5ETenQFqQYcg8MrYaVj3DfGbsAIJdQHy7vMFwyqfj7K
N5u444eixM6JTCyknn/0UBXeQF0xNfpOr5zKiWBId58wFqMsSDXE/6zlZfqhTs1MRJOFlhv1xEn1
u0JSqAyTbNShRvpG/7W1prgJO2Q/XyyvX55U3Mk8nPxc2FsoEZ2ItM52iqgDZy32iPlxeBW4PTcI
bgfuk1M2QYDz84yuGf+CfFtbBj7yjRXjbS0yu/qjVLH/JaCz92JwB36Utq/eT4OGl7gzW/YnrBvy
KYTl7Xy0kx4KATQYbEt1WHugW00fCFthJ/oUlUjdvvVzqfsRlia0R+B31u8KofJPSddOSWTZpSkj
qddLFxmNP1UraaYYQj747Gz/4deel/p9ZexkXGRu6CaAhEO99qvPZ17NyXIDS0qApejEYQu7+jAG
BH7RLICf9B1XM29rTkUTYsTdYBA1nVNxOmVEcJOkVgpqf1Ubxn7jcCzdGbu8X9pll3IZaiPufcsl
1/aKs7csRXc5dZnUUAtMs3FTjIn7AfOR5rNZq/J6FFU8RnOhqJLaeVU///IsrCJPNGCQOmKhHq3P
aWqbrIa6BF6zNTHDDci6yB5Cs2nPFeBPAzxn9WoEslrZr1H+cBKIfUnQOemy62JDbVHLtXea7isw
g/LchJ+enQy1XuA5yVZA8lEaPOqDNvi1MyO9iT9zaLRx82As9gym1E60e5k72PAk+CNrvxxVqEzo
9K1pSFKLO857nMEp0tie5t2sguUqr+OvgaP0M5kBq+Z07XJorTnrSs2AcXw4lc2CK/lkBP0urlUe
XLTBMGvb0jaWfGvF8/SH7bTgh/U6serQHQL3gxR+pjMPygV92/ZxvEnrqTA20ikzM0T4VrNDMVit
CA1DGel2ChrH3HL4T/Y2dab2cQqWOo1ULKYMjDK6DBdYB1KzastgandJ0cNHd9Ah3lZFPFsXi0qb
PJp6yq0hAR9FFDwDsiQSMYWvu6YsMUKZl8LLotIxk9/bWfpa1Pgy9TdB1fg3wNAS+8JNWtCkXlcH
YZMr81EfxzYJcQDWyELiLJFb6XZlvo2TUjy4oIhLOi6JP+C43Qz9Jh71ZH3oTuXRKr+69jmNuNhY
xuw2oRmb5e84isfvwOoXD9JP3C9tPGrvQKXpOaJnjfHOaw3j42iNvhZOnV+M2DnV3LHbvnZcgMGm
urULwwQx7EzBm2rs6jgMci9zonmuvWnXp22BmLGnLfVNiVIQfdWlhswihTYmdN18LmRt4wfijvtX
qe8WaQz31K57OB9Lqr9vpV+IKG8smSN7sZRluAinjENhIbWxb90mLWFxmXG2oR9ovLVVJ6ytKsy+
uSjTbvxgOan1RDMUc/JmRX2LzpV3rqalRegn7Jr3sWj6a5Eu5rJt7UClKzGstvZD3VRV5Ou5u8n8
qfRD20nsr0EXuw4COM4MtsxOEwuXsNl4IxUhNsyF0j/gxWJ3O3KQJNiyVLqHotZkjaa+gX2SsZgD
dRE3DYbQmzPtom/pQIaIOmoxUX6ZP+V93jJpvsY+TUdtxk2r6bmPyaBhDwtBOymIrfHZjx37sza6
A+IYpSeuFr77s0zamTfT+SRtasn7Gyoki7Vremk9ShkUIzmYng7s+kQFkWtOpovR1ph+razavjEd
Je7pHaLkoBW+uC9IR9/6SVuQFwZeJTdD61O11zOjee4WhY/R6BX4wI9aH9cRwU4hLT5a8qpOc+dz
DiyA5hbFP56sDBZ7m2TJ/LXpcuedqSSG3qUwDbpQgzurjfLI9CNMU6k6YoGTEqRqf1wuwNn0ZRQP
iX4vXQ2eukvLnrNDJWJbQ2m/LH1/AvmSiearWTvxH6j9tJ8qH4Zh2HMreugpeFuRGXCVBNBvdLe9
+8aTyU0rmvhRNa32lQtTn0etHPsqQnjVe1EQBz5l2Wga+y4o7HlnSqssrwvXZrKVyLpn2ElOhVFd
6qc7c0xzEXa+zO4qELZZ5Nmz/9S0rXwRVFgemJwYugBraIp0tE9f6iAdvQiSuVaFCvfMJ7Tnx8d5
VnqzrxFM5k+9QA4bqzSsOhpRco7DpcmzR8qHooh0+ltGWEGs/9wH1Dq2Mz6VzmacYxZIXjjx73yb
ANc1KjfME5WlkXBabwvwzyUldzTv7aDNqMY5We6HltEP94XVINCFs6bHquzTVbxdBLyCHnPzJrSA
o14Hyozbyxg5crljRwVv3MT2cQmbZnrjtlF3Sdi7Jk1FgfgdduSLrR5JhZYu5A2qjPzJsK792p3f
WmWmRyqzIOYqfbav2iUwWLNG6qur3lQNzFauQEOEsGpShjygwizOc/trzXHFQ+wOU7XJq8LBUEXq
9rs4jcsHN217l1dYG3h5uYNx4VD0v68DF+aPR6OE9Arpmnbb23gNaMFQAYAbxc2CCOpja5vGsnO9
xmmvKuzmWpA6GryQThFKIyHz9Ga1b2Ft2MqddjW7Te6WaairvRyzpqKYVfnVRd50EtiIKMF8TnX/
e0EVv49Suop7P05sAm5Toede9sq58ccOSnZhtsadDsrJjVSZjbdG26PpVWJ8uMfKkiha4agnrvBE
TgaMRlJl7B1XEjNbmCKPXZ4Vz6mpqWTvCH9KdoPMKrEvEK/iHkRea+2FowJy1CYlNGWJaP5ggImy
ZUp6Av00MN7hgJHTke40MoGOTKwCuarNeYQeu/lxKfEL3Xej9PQLDF7NNHR4izkvRsCxmYJyckJr
jP06hNs4/F76QkeqINMhx1SevfyORTUuZ0s5mA++mReX1kjDPxSqrafQsmDgbzMvEf1FTDDWN2Yy
ehqKarX3LkEB3A0Dzqzbjk3nXXleo+lohNtFEZpZVbwUYuwQ6kIl6BMd7+66Rr81BmtldJQxG488
fF6a+T4OFk1iB1OVxPAudqbQyzKo05lmV23Uo0l9WUyxE9bcBvZj6+nRkgw30I76e8nb5ywil8tC
E8Ovfuc0jWQKUHzA9ytZPSppCo/3tpiSLATtlXzqHa0cI6eTAOBpSWVX+ug0X2pKbFzgnNHJwszW
ybDJg7VmU2QVWXA8z60RJo1bi808e9rNWCLvSVHFST9Z9uDeLnOrxJ5AaU2bRjM5z1Ij00IvyDBJ
HEu7JV622XTvjFn/qazjoo6s2hMzsdTJIUspo4k3CziNPKyVcuSGDVME26SUw9NC+2GPpPTsX6lU
5Bdtx9GxyTyS1Kfcyd1lK3KVGJdppaV/eLq0m02jpDFGNKbERe1m43aYRL3rRQP3yrby1oiquSlv
mMuMe5io+zoSi5Y0kYlW3d1SQDf9bM8TBdYxH9zHpnOslzRwYbi6faH0bTH4aMJXPOwYZgbHdaj7
HeFhqN3+Td517cvQctDtERMEsWX18czljrDbvyRq9DmVdOqyVazPHw1rKl/kYphkB20324+51NTz
0H1Ji52RlcsXjJj9T1OxVGR0DdXfKR5AZ5jACPxQk57bbnhvDu1PjCEf2tEfnoexkB9rNK2LsIWz
+0FMnvzC/YT0rnGNRoWz2ZPe2agEFu/W9OQhHWct3csiRQIywP1KhiD64WN0zjCqCBGMKY2WaYFj
owdCPnad6X1sfGf4PfdFP95B8a+eYf7mbuT3hteFZax1d97Ui6/OUJm/m5bddFFix/FXAhtHc2/a
lF1wUS2TkJ9TvR3tynif66X3TrazDhCm1FBkp/NftJtJkIJt2I1FcEkW5U7bvDamS3dhOYGiXVdP
Dk0AtZEUxqifDN4D7ll5EU5pk8KeRCTrQa8LK9kobag+NXHuvOTw8UiiMxm81xwztWDxO+VLHwfa
m6qbq9tMGdNWSCOft5XRlat5gRifyrJun+d2gJJVxnGzPCoYaSwJMaXvahWQtHtJbngYFkIUDGWM
oCDPkM8Qgqs6f8+E5fJKoozyIa01UUBoqLXmbmk7Q9tInQLlxiPeNyF1Kw6kLBeOt28Mg7olugqJ
symSwRRcVPoye6Mrd67f94KgEfWdZS+bfNKBOhIJhgeExLsmqgJvHsKSpXpXdZ3+ACXdxVlCV4Q3
Mq9qDhsqoWVopHikhv6YBXOYBwj/hTThnOTCDLB1w+5t6kRIQ7cZt/ngJx8wjA2+1PSYQM15U7qE
A9i3d3nr4oIzuLr2R4kDyUImXaRvlckpGgpBJWrq7HgJzRSUTDjVSV2HWszrZDtWSXXlDMaU4hMh
rbsSgVxz37uj+DoN1cjN2szjTZBNpQfFa1rvHpllDBEuEc0YdWhqalcK/ymBKIOfPmZeIW3i36xN
H3DwneVF4C/DvC25BWKHqLstDWk8RjlmAlNzqGC6Y7Nz40VUFy14/huzG4Z5k1sZ5eKlCPJdLMy6
R0jOcr6uLsukoqrynct6rKcvAC295qq0raQLe82LKc2YSRnl0Ax+t6yanZQPHgdJ3Y1T/8bEs7e8
SLqxCKJOOSLfGNMyfaisYXyKgSAmUT7KtI9MNTRPIhBdEoFQ9J6rbMH2dKyqxQ39gvcXCWysndDW
hu7joNMcAypV+k9FPSK3B5eUelNZOskNsuutttUH18i2Vt+kGLtxMlvhBCw82RRupicbbUkk07OI
VZ8vyZdyL80SxoLpyUzgS4KUx971CuQolDtSdU2y2lJ36EZU6l72nvte85COiQw1ELV1XXgXcrDG
PtRjn6oV2rEI1sEPmcGLUgeLnES2+kXbF5b5qcAsZLzT+r7xI2SKqtt0Ttr6Msjn9K4kT3DDMa/s
KuQeOnxCdme47wwsyMNpqZ0sCjSS0YidDV1tccwxjiquGTUJC43k0G/njKw9K/J3KC4VVjjKKsAU
sx97FboILVf0IIJe7Qdet78XAU4XkZ+kMr02KyuYr8mMcFLwGsO/LNpGB41WoakaFZnXvSuMfPxa
5UTEjcrn9q2iQ/RQjjk5f5ZwPbzO4r4gdsAqwKKrqYf0Rmu0bgr9uWsk/pBljiq2mNhxU6rqLkR9
x36CCt6nm9x1mvtpwmPkQiMN2Oc5HcRtLfX4jzlnpjcdqV0e+UOrPzRjS9JoKb3OtnKUWrdOjTc+
UH+ug82Qj0Mf+kvQWmFWWUzcYJlJQz6p1yM5zMRCosZDGxzwm2Nc54LAc5XKbqjJQJLmo6fpg7jM
Ie588nVUBjbLknTLpgwqDLkLNaNzSAY17IeR6ifCwTHmmsPsTS8lWgVXvXS4vMoFz6wQbhjiO3rT
ljHhyi9lCLU9ue3hbN77aeM+mJpPyDbapNS3s9/GZihdsmfKqFnuUSgRacBYY95EQeoHVAQWpT/7
skNezWym4Uub0Xe6gCEW7+ppCeKNW/XV89hbnb75h5XKusE+TO3y9UJc5ybJY6tNuhP9o3G5srcl
jXjK8x4p+6CsR6+h8pQ4iKpFKMlir4WcQpCGFKETm/dmFe/4zME5/crTohuCnWBCkf5HVQsSzGGl
yMVPWvpmQUEqoYlL5OAscGu/ByTmnNO2Oi2p01uEa0xpD4rSSdNvBGmijKyZd6KWnM2jHbxJVVp8
+XnF8pVR1pIXtVTI26jgHfUiDCHn2pqraddJ+xY9TZf8oqdi/MuVPM8DUIfesQsrnxLp4cRl86jJ
xtDVTodTCgIY6lOlz+ek9k97HhgWY6wIh45+KVvocBROkT5NEIPHEWrMbsssLe+7MiiujNixdm3t
W2dEGl5peq+IfwCxq4ACImtHldFFtNbiOInaKRunP4fIVHaS89qaPmgIoIR+1dpRi5Bz6CxcR8rs
IXO5F3S/6oLoQB6yVv6etXavgPgdPng3SHKUxBwQIMrUhWrwbapQOvjll8goKOaAVeaJjWNxhdyE
WJNYathB1IRX3Xk9CQ8OMj9fkSd7DMVMmlZg8fUVxXAMXqXSV4g6kWiNx0reZgU2MtSXnT0XhCL6
+VAnix9NRhCl9Ia+yaYcDzVMQ5Mssih37eD1UZdW4r6fhDqzxdai/2HTCkYNYCmU8KgxI5Jw+HL4
8HbZ8154OQV9HUny6mbPUyypIGqfYJyB7z4HKj+ZRLS9dH9ly8EaoiR8tN+KEb/HQXd4VVWWR0aZ
aRsPPFyETv8vU/PgGrAuSK7YAqRoR3vAXHpniZ1h3tm41YSCy9d+QaL7zKo4eVXfRoHqAUGDhvax
R1ORlZUa7ZYeRKMtW24ES7gY9S/req2j8Gs1Vyf2HuOYktJTnjFUM62UyQ0d6nI7MeDxuPTad+3n
/zrgw/X/+m9+/1w3c4c773D023/dimcc9+qvw3+v3/b//trhN/3rjXzphrF7+dvtU9P/bTdWX54G
UVfH33PwIxjp+yfZPA1PB7/Z4tM7zA/jSze/fYEVNHwbLnmp17/5//vFv718+ymPc/Pyz78/w38c
1p+W8LH+/v1Ll1/++XeDpf5fP/7471+7eyr5tvCp+/z0pe6Pv+PlqR/++XfNCX5bcVfAy2HYEeDW
4Kte/vqSu7YbkUJEIgNmLfGuqrmqM6T12/re8LRAv2elQ3EG9PX4/UvrzQeJdg4HgCqI/v312e7/
3K9/vh+m4vvv/1aN5X0tqqH/599POEN8KHYWBqQsfDpHx/phVRZA2G6w5sgc44aGKJ7bmU0xecFs
DnxDUNrdVotNbQkDRBRF1PeaCUHWdjqufK7ZXaXD3H91FsjdEVUt9SK1RXIZrsFApA69EnJBQ30x
Yp8cq2/c97VTZbedWyCV9W3a/7MUf1yKRMh/vxT/T5WMGJ48HSxFvuP7UnTN33jb4IZWWiQUyZWF
9n0putZvHP8oLhDc6fGABPufpej/tvYsAY1DD0WDbJV3/2sp+r9xxqFrtap0Ub8FaPILS/FEtgr4
1AoUhre58nL45/CEWUoc5Xrq6Jva0ouNo4uPK/pyC1rsuQ6Gz77wH8Z2Ni5SM29I+qn8zrZ2Dsf1
DZf74zkHzI5ZWFWbObtx2zk6CKAksYuVb29G5C+uR19e+RUlmyx7nDT6YhmwP5+7f1hX9U2/lOrP
VXwQT3/ckCdozXV8uIIwhpAI5vg7OvNozDRGP7b2BsUhTWxsdCmjxs7bN03ppFMY68tQhpZGWzeE
j6k3G+FTAA+XPid/KyotHEolnDBpk4AqVZ6lcFpG6sRd3V0URdN8T9r+s+1+2Hbsi5/tu3dPnw/2
3Le//temY2cZIDghPSNDs26tg0237jakRdcIzP77n03n/cbRsLI5QQrDM18Nff/adHwJKhledFRW
ASpD0/2VTXec1rHcVukI9JNY1qT/R5uOq5nrLbGPRQTyrfs59y6stgqo0qmv5gL0SD26DX2azFLP
PaXvwBD6JTC2O6sq/Q3lw5uikuYtedWu0Cz71hk+/SeqnyQY60Xy34f125dJPNcHQX39hu8LzHd/
W2F+CEahSADgdZVx+h7VDcP/7c9bMVj2wwTDMn8DswfS3VupJsBi+IF/LTD7N5JGMn0w6iB18Rn4
lQV2tL7QDuJqAvwFfA+hChmxw6DeWdIQVZW2t6kKhEd53QQekNttbj5rXWy6IcvGs68HlMy1XVx0
2fLhh7l6JcM5PlZ0ygLQiNkqSNEEAHR50h/x9kKJIs2HRt7UfduaG1N2bvDOTixjvJydIG1wc2Rz
3MddN2FmmmWTa18VFCbrMkqMLlmo4vVlbJ3DGh7jv8D/I9sCUJm8ixP05HOx7ylG4wlwQxW26Dc0
g0VCj8hXMsqzPJFhmi2de9dPFnoa4ESCdONbyEGERS9Fdo9GEi7fNkBg78qp+9HYnpk3os+PF74V
CeuARjDWUgREpGNoVm4VttlYTnMjXLGMG73WrfnaajT/noJW2Xyd8mYZro3ccvqdNDuhwolip/8Z
6OHYbRKwp28DTPPkdWIO5QKBXAbiXlVSOPdnPul6JP9wZBO9OC2RfFh5YC7/PnrDRj0btjaZxvXq
GTtdympo4su28JeJY3AazG3qltVLXacjHZsunzeZanvnorWnQZyBYa1DHXwUsHzkVmskZeHxP4eL
rRJpPBWuoa7N2JND1BqQgG6VWixO6Jz2+CfhtkOanHlXKz7/aFRueyRpHpUpEHtHOQsAJLA/2Txc
17pBcXzEPz0IHTfX9agcFgfzFhiLeqjRS5n2tVny57OW+fLtz1/E0e0W5gDvYT3JEO1FINNfP+YP
zBZrbooUelN5TbKR53ME4NRu27CFuzCdSZOOFuc6FJdbMkaCC8i648VZUq2X6Jy21/qEKdVVa0l3
vLTLbFoAT9WiPsNm5CZ2MMHAnNc9gFgiL3YNjYdP1sbIECW2OV3lGYZ8m+bPKTRS17ouvV4r3yOE
aS+X81A758h6J0Ovfs6g73lIYH3853BozbULugR9e4UVdzbtfbdUGxJg031Ti4V5xRoh7rY4wWjn
KGXHc7x680B7JQXhEuqe8K81fU7o+FXk2klr6FE7lOz0P8NR6ipW0s9Xz3rnPJpmzjDSfrRHIM0D
j/6WG/+wgOibTzGtSrnva/Be20Tr56+DtdBbsxJAGlv2dU3nIyiXqAsyd5vRgrsuCy92tnHTzm8s
j3avzO3gcm5moC6t7YKqqv1rhAfN7WqMgbsCJZGGUiOet6X1sQ1cddHqmvsWCjh46w6jc2sc7iYn
Tt+hRqAa1B+CuA20XSsQ2bKvdA2wi/Yii6Knw9COX+kFdJ+bsZe7RDOKy5Ra6h3L4XM5Ntre0fPh
1qC1HkEYXT0qY+OiWPzSCc3W9K+73BhQ6Q38R21y/DeiDugWJShOTE3t7fQU7EA31e1GaDpGAkA9
ciaF5g+H6nvSxu5t6gFkmGVJswFAxRX932RfxeV71eTLg1TmtHWXuvu/zJ3ZkqXIuaWfiGPMwy3s
eYoxMyLzBoscghkcBxycpz/frmp1l+pYS627lslKZpIyY8cGnH9Y61sbRArpfowG/5ANXf4hpvEz
GFffjGc6iySaqzVOZ4ONiw+eLooWxr3oNqI9X4OD7sYVtzHkm7CMEvGBENZhdFh6zZ4pvqLbbba2
vyCeAiMpP2Q12XuWhsGu9dLuNeuHcEsuTbvh9Wz9CGcbRZ5GgbBlL6Ovrlc9DtS4T144Tqx1R+sp
bPPqWXWm+lQQrGm2vKg9AYoJUa54c/uE4wG/KJ9ExVamzSHxWt9kZxKGzncvtTKkd2bUX+xOe6dF
EIXu5em4xx8eES0kXhjBOSjyWO9zOM1x0PVpkuf832g+x37rG5FjnO1sWC9l2UyvaVjl30qFghVt
Z1Q+VKP2X6wwdR4Mdnhf7/ramPVrtAUfaJx7BKeEj4U6SjS8GfZtTWjtVd/nW0IZWXfJipJ/Eyld
/qwW72xbQz34G/yjBMXvAgPqbPPSZwY3121xF286dan+6VnCSxZ/sOK7o/ZotNlyVhDM31HlFAjw
ZVPeaXY0xCM+k0Nnyq92Zta/HO1ZRxGyeywdEgVzv1Y3cJRI/OdyZwZVkeAmumLnIYRTCK/9ot21
2KwRV0i5K1FudmEnjSeqXTmRc2bbg2KdrNeri+QAioyltsDO0gY1T/4SSOtS2tgNdND98nv0WshI
jjiEmhfLy99QSiHHC8txF0gHaYi1mN+sIiQCsXGSMZvERWcoHt1iekg7Ne/tbl22Tl2VhyVb1Law
WZFZRqq563Ah7JRlDOyYy/U2j0G0t+1SHOxGdI+to4cXf02bGyCc7LFIM30pM4e8TYyXZ0P4xpQM
gfKcZJ3l1MdjZPFcClupbOsFTSrRodZCJWmeL78dUdhe0k1VFBPdWF+tfCyrMy7Iun6Halsb31g8
ob0do3D26lhHQZlfRSTakoFXaX32XDn769o68rnVLfJggj/H8RaWtu+/RYEs0q9S8DpH17cWZXFS
vmlXn2Gn1JQYNqaJF1hJ5i9Uxo2kHJzk+ogHI1v2dhEO5sbJBqve/VmYYY28azz9cFTuccldPtWg
S2e7zGZl4gRZSJ9ENaNksdOGmnJqzJyqbpimpd5FZWfnx3mo0xCQFZS1o3KMXMbwfaprbmWkJKpF
TOEla1EyJsPSFtXJ03wFbYIFpJOXxapddQs4iV13y46qpmy20FivX5GDLqgEUprduDWnaE2cusmG
rcs56idd0M3uxRO1V137qOvXR9fEWLVByLemv1fN83FtMIh/2JLC8YTNdCUrllssI41HUh77fsZb
KeiL1HtfeovvZgg5O2Be1+NptTuBHsdJfZMTFza1GroG4vlar+kObUegnpumz6rTlPtifRzbJfRf
Gz/s6q3lRHOEeq1xFHbYORRhzIVN7ZBH2l3b3y3irWbT4zXozvYAXufItkBkaNeNsJj93WpyhfJt
0EK8lbsi8NurP84YOduhd54dmqGyuPRmq+/hATXgyuZq1UNdZWdvauBqJv28KM4uTnl0wJrVOxd3
anvIX0wU2n1hdgqleK5Ch5gntubLRrFGxrm55utgtxurMoNfUVOG6ME7S7NnR41xtwQE5aCCvYeO
edcVeRaUGxes3oSY0pmRejl52F08hAfZiUxS1/0aLeEsf7O44LIYoSkU+7I8L3lbzvxj2bMBK8N+
m3VjUV7stq2m7+NMICyHX2fW4f31hIL5t9uYo3Bi575lcTYlXVH2SfUhxdNKbUqEY48X+TlLOTDZ
+lG2H7pcZMUXsMSDf1ODXvmmcnR/6be7dIojK52aIn3u2b5pF7UteUXoq2mqEHLUOu/Lz4KyRbZx
zoiiN5ImdXEsb7pB2xSlLIun8tXoo/wtyEpra6A/iuHh92qP/Lk/ZrKGs45E072Njrd899oh/QLf
JDqJNkehim1vE9aW/5Wy/I0U3+LIr9fucGiyxY8ctMZdXZ19F8z5DsemxnfddONjNC0fvRqhK0t0
TSlpVldjRKswu5r7zBbD0Uct8WJ2abtfST4j88KVCaJPgFMY4Z4E58omGqLgoQiUk0QF3hxryr0N
3mQrBsfre3EaBdO2X1W3q1hPnLSNM0JECN8Tf+FgCbul2qzKHOtnL8zqTWiskw3RfcYo2xNtecrD
8C5j8YiBDbysro6I1c2jvar0UDSVdXAslW9LvGG7Ip+/WropgtiPGBJFhIDGZgO0Qi1Sn7BK9me7
meeYa1KfkcUEiTfyXcOc90NkLsL7gUyk3jslotN6mRg3NVN7HNuwfyJ3AxWL0+mjXIuBILPyt7s2
8rnPPAjcVjAxfMIDZS1d/tyV/HWYTYIvHilrYdK6obhIs23BR+UieCjRz1ElOF7GC2+1kkiOlsKZ
Mqkv6yxksy3GDlGZUk6uE5A8RPzIcbY+o9QIL6V2na92SjMMEburk0EYvRlHJpqlqRhGFdNbyX6b
56n3tbJsTaRVlDXhN1dGWXlTsy6RxnD40nV6Q0kJOOT5piUgBhFsG0qKIXtC+LZSHvRxWU8CqWRf
nbKssH84WZeeK2e2j1jROgxyUab2jggtBnSerQ/VmGmobB0ZfHGp5HRasnF+60bZPY4saLA3iCB8
HvuOaBjmfNVr25TdstGZst8KIFJfIFItp1wO3TOuWueY3xv7DYLU4WiixEeYKYf7KkgtyJwLz92Z
vhD+VqsZgsDkVumvkci8r55V9GGCvG00MT9o/hwDnqiNpbH0bdyHSOfrqRwP/MXkFfTKLOrNMLpT
siwB/lGQz9mpASYcC8fhvaVKHeXgF2QxJe4kposupPyuwqJ6sdAnY6eBQPfmOJnPC0XU5Q7hW+Tc
wtEwsYSYTQ9wl9jpq4eHzDhB3hi+jDT8TxzoNZYTsy4f5JLWBzSnJH8s+Ol3wwxkEEMGKQV4PVSd
uJDRpx0Qj+WaOX42HMoon2e+X200ZDVXnhGT81mfbQJLiZxdl49GBcEWCaP1gnMiSpSztgm+j2w3
yMUDD5qhC06b4hWt/ofVEW3JL+ippKPFeuOr7b0NGu1hY3eFRWTfCpDKsHO9z/KhPff0TXvHJwCq
RzRCkJmsc3WLqA8fYTvMX/wimFuO4xR7ptOOp7Dsq0s1Vc1VtM3V6PX4c+7H9Epmbfhgq3zcmYv2
Dm6X+uwS5kACLM9OLGfYFpBsgOevKuVlxcpzqAZ7oKfCPHcQfiMfvG41PkIalQWq8br+5GG1m43p
+O23utDiw3Pbee9O4S+7pcDk15nCaWusjjtRrsw0V0VUHtyCdqyRodFvrCL73YelfwLCl29kW1h7
su/WPRYDSX/VDldogHJreeLHNFZzuFtCr9rcczVffLrgjWqa/EBPLrat9n57i5FvrKE5Z8GU7Xpg
UU9mapuvIz3AyaSKTWwZzbdxRl61Ap2PU38dEeCWwTvq4+FmlIpTxxiBerqVHQeuCI4eDIZ94w7e
1moKQo8QxCWG218IKyQurxp6XDLzkIwdweZh5denbib3XIPe+ubOpbkT+D6OdeuayVjg3FIhEn+S
kqnGlIgc3CNUVCsfaBcWDdJ0s/opnSBPytqItkoZDYXOqA+tj0lN+xPtqFFlqEyzkQBki7G8nt0v
wpXVqWJ5dvLKDod+tD77tRN80mN1L4o+8lbSeRCj5Ouq3c6hMT+nLgXyJhwm8WAPZhtcdcPTFRt2
Fp7zZjELMPky9KbY8EaPxI9O+49F6xmvmB2jcB9CgCkPZRuUCmn1mH6n9rE24Rhhd9B+82yiIXkn
846A5kL45DZmFU2ZZVVfw6V2NngiJRq41Hs2K29mNhbVx6Kzv02zEs+wDKij+lQ9tqKfT3qNMs7s
wDqnvh6TlDrhJTVDlZRd026KBfPc4jnhW+/LMBmc2ngoSvtrOVr2wc81Q0Czzv1NG9XXyeQMQ94Z
nPvc5UMo0fzkKCNnAZzCWzcJdKPuHNTHteW81iNVEFpP39hC/1huiwz0hWe7jh1F8NLS5/6pTKsf
tMblE/LbKFmM3n6Ces69zhvqsLS2v4NLTFHGfZIzgOirY0OK1RZid/FSRkLdiC80xUGZ2k5QwjTf
XTyG76Lv+xtYQQczdNMf6qI3Phiccoivdbvjjg6qQ8hOfsfIetVJ5qTWp5zdMVmDoN4K/KzbmjnW
dogkzhFCiZ2YIycY6PI4Gbdu1ypuxhxFd9W9AdysHlndy2cIDFWSYywkmkibbUxA8jUqqM3Mdh4O
+D1+gcuUY6L6wSfgBbt8TBaY+L4CQYhNr6BBbXlvc/8t+LCohj88/lpMQ7rAcWNaj+Dvu1N6f9ea
vT2cHfhq10XZ7o1Zn/M0KMws8doE9kHl6blpM7dH414HCV0N2vmltLAhFgZIUo8C8CUvw/Zhcqzi
I6pHHsBiNT9zBhpU9int6ryIbMOgLn1xzdG8dT4Im2ShJry0LhozWQhlkmbc+icB03Y7rNG8z1zj
qEyBAwXa9C4TA+7RYbRWN6ZFH39PzMrv3aTatHC793Xnot9xS//7UJn2x8osZsCtxTlGvc8XFg7B
TlKybvkCftdu9CayCkc3wvNnd7UE+u6AqN60qQ/WjFXE6qthP/eyPGau7JMsWxYdy8HSF6NGyEYd
7Xlvpt2PT4sKFCMRz+MjBGdaWu+LIfXy4Q9Du2MC3LjbxUFAaxuB+NZks35EpeyhBzYwpaKMXFdv
w7hxwmxYEfG94oP9pjVPOdVRpHZWW/GLtWg4fkZNtvzmZanwrVjZZVBGuUHya4axN2v3ZXILR8VB
aHaX2ghwpgX2pKAFhdkMEVJVxZmRUZpdUj9MN0PF5OgHwDbBkpHDbtrQdnlvoNfmL3XlSDgmNC/Y
AHEkWf7YX5DppdP4tviWmns/Llxl40ZORlwKonEwbAz5slAaLvNVW7n1ViqbCEHhvkGjaK6mrJrf
zEooOVDZKvexGq1+6cDfhl2F48Z3+Gwn9UcPI3MmA7e26uklczXW7p4JDMYmf10iXg0BZdK5twv+
V1sI0V77KpQ9JrqU/0YPedoa1I3kFfGEmQHpLbHszOi2TkGxbtpeueo1i0b3Wo9G61/FLE3/+9Q6
dnVd51mnW8Lkw2ATFObY7gkmM3gC1z7kT+m+ZoiYF30VXaKeC/6sbWdhM9WaTck14YPRIxTCyd29
+KN95uBOl59GHlWYM9PU69MvEoKzs7NYBAy7cM7C5ncRDeP6HKy4r1zOFPbDSeWj/tqvE8a6M3zz
tTxn7qqCR8cYbZngwisY6GObIgcHfyMZjVT6GRRB7C8NxKRjqIupPNxXzLfac+jj19JLi+9Yox1G
mulK8zhpZwjyuLMHgHNjadjLg+0MNP4Vegj73Avr7qZxcAdB+NBDx3hC9JlN+4vDt3mcVwMwQxe4
A1OQilr6iK5BN+fQyBh9mxGW2cPEScNuQ6XZ8uZlZRu6iaXaoduylUjdfWiN9rinNGVYkFWLaR11
QapYwlZojLLY9XRzMhkvTBtUKm51ndulKz8Nwg5pglBYjkdhtT1Au8kkOCJmxjzqz9UK5YqQPVtD
/xNbfkmU2jIhdbpZFo7Fs9N1fPGOIfknVFZfPXvgmelLRx+6DI4QdyguNQC68ozDlZ/dBpS27xzG
pf1ILVRKKmSrf7K72vqochijmBjp1iQ9vCOxD2W0xjw5goVMeq9lTF9v+2JU98Gu9KY0diLD/+wH
w1KvkAEcLl2tQpP/QAp5v1k87Xp+PHpWR/HUkMjLX4Z9Ps5TSsxX8NgZ4+FFhyIO1rk82UMegOVK
Sw4pS46r8zRla9ftACrY7Y4yWZdbd7FbLzYyf20fy7Lk98yHDrtFjLQ3b091kVnvaRmMkDuHbPZy
6ji2ZInPrXHgFThHl5VSFxY96lD32q4D8b28+Ff7KXcHI8d2LFmQpg2uhEGH0a6qpmbc9ebKb82w
IzpbGGHwqNfqPjmrMi4mSAggdelIRbArHOJGWY6VbbqZB6vC89YLaisOvgXbq3L5U26ggpCaj53b
aZjDNTyhiGvzIxWPUlgB/9iKun9cVuks0nqx6ylqcN3ilTum0jP7RFeGWi/GUPs43Roxqp2emtDe
Rqua29s89EO9wYllnLm5jOg24TI4ki4ZyGe3tCrxEQ0W1G0NWmjPILsUJ1pNW59ZjE3BrpSh3x5q
e2rM57zqdLvhIPTWTWSYeK97yIlI1F1raK+L20Ybb2iAV0KhxqhQt4i6LjRGsB1w9C9ksjE/LnFH
2QXDXTeSbyqCtR5DyuOuZUxDrHeF5WP46YLoqDcWpr4fevLUY9ZwiQ7atuTwK4oct6Io7bjcUybJ
OkXkaL8FdcPz1glBM2WvmfjlcKk/mBFVzmHEs653/hKF3QaAROpsoADY6fb+hHFEhzT1h7q93xpj
Wesffz6cI8SG+weXUX8wxzXIq1jaw7weWmXVepP7NoPBZoIjebLLxpt3NYUigF/JJJGlEEl526oc
yrOlMpw3BW7ddpOb2aJPvrZl9uCYadefUXrVZkwpOhEHNORdSV85FlaorE07r8wffXyl25IbN9gF
Y1RNSdYZ5VnpqM+OACHFZzCYc/7pdJ61Mnm2U7/ki3OZ7PSG7QQnliJN8+7KiWe+sHu2eBXgCgan
WVezmktWh1/u0bYVl0Bg9q32NkbG/WxLOyO7UY3hSqxj1ROnhfdLn+jYWQ/HmKra8rNktlOdeA34
1dVTYdlpFHXcpmDRGibrhif8diew4n3tdasvGFVYirOIkJyfCFY5vZaqpe4u5dxjF4sCvzl5a2n2
u9EtDD3Ho+js9GsR5F6/j4g/NYgRnKi0OaebdH4gPDwrHiICEbpdWEbcETa5HM5+ISaw34APmaYh
qYcKYWkjGpBH0CK6uj4NTWgEm9kMy8NqR4V3wDU4lkfajeiL60JCiHmChd5koTnyvJadzDfNOvQ/
TFXQdo9DYXnQe6b8XfZhOm/gu9d28uc74s9V6dLkdbntitJ68QofcxBfktc9da4GNSBZpo5fhcbV
fPvzxAx6u7K+KIn1abdYZgHHg87CWWPDdVS+N4aJCwewjcWvm7vW/QQmD+Rg332sR5tLecQn7ZYJ
JqZx+OVLOx035BneV/N+Lf29pg77UrkSxaHZ1sM3YeEs3iodru2UBNiJ7DHJl8mnUuYim9RsWQ8o
ow1Gbgvrnq24N6ypE4+zy/qCyee4GHuzxfP1ANODZxgbwhR+rxGEksy9VP5Pxgy9vgzG6Lqbktei
eqUi8tRzRuW7PqbQHdRrkE09j+/SqaNbEnqNzAt6wbN0Qv5HH2nRxBiEO6k4YsHN3Z946DRG+8Lk
JXl2Vlzav3mf1BUvFLNoihq2Qb0atwH5gNjPZW2aB88d7gNhY7Ih52xoodNlTnKQHf7PtJFZRQ5D
lneXUHpNl9+PKWvdGGbYrfmmW2wjNTcWWTrTfG77TmN288Ju1kznnUZtfaAp9nfZKG8GjYdDGnFK
T2bb+1JE6FBii7E59bAM8la9DCRliieaCaJW2Md64SWop9lNytLGfC3SpvxWSY1JOq6mUN5n2Atb
jkNLyK51Y/7U9Fs6vdE5ZSxNGbbLkrXH/6qRPHNyqLp05ruHoagwjseoMoKRp7hp1ltmVuqXVeD6
Ilncyo0xCSkqxXfpQWJkFjCr+pqVhlheQiGKbFNkE/cZfAUuGh4krzsyuhDiYABFkEntLdX0sprU
NAezpus5qDUwvrJoGg4zcAmRuCMu+0uqPPxSSeYrvSDdMbLfQcDu84Oe1Wjfs8A2fwSGXfY/TU2I
H/yNJfdBYcx9vlADsLPMYeGMjZ39iNQw5+8zuJ/0w9Mp90bKeDP6ZMGy9AeiyFJ1lLosNs5qVGTx
zDmriLPTVk51HTIK+W2q/MF80cyzRJzdv9iDMxTGeGkbJii3FC2G2N2ZCdWbx56fg55oW6/DS5zj
kN9h6bBd1ocUXb9yKAkqjLuUtAhs9z0rxboc6KgGK8/4XptHp0fyxH5yjdRe85HnIp6cqlyfBJgV
fe6K0R9+NCB7sHu6ZFCj2WELNZ2lIIb0INHYAUfqcS9eVjna9k0wKW9jAyOw1tAEaM8gkxjdqN87
j/gMpiOtN1+bfmzdZ2Xxcjw00uJs7unQq2sZzf56Uqpu0QMJcwyDJTEqPRTHAn5M9FimgOpuuMEI
VGD4jwKQoYiw7k/96Bj6TM8wTVuTGJ3xLQCzFG0ZAzdgEuuyMwfyFGdPMivE25T2m2lk9CKZnHZ+
Vm8bNBWGeHBgsVnR1SASMcesXFPoTtuVH1u08b/WdvxNBXhv3z0g/lgBXRu/ovs3FaBHTQ1mSC57
1TW+8zK6Ohre2tIV1ceSeyztIouN++Nac4Xeozri9fPHB/iPVMqvXcO//244+SfLyv+blWX/u7t7
P4a//1X3T/O/7S//v3hXkCr936Wlt+Lnh/zIpn+SL1shf+Yf6lJ0oljL2MbxpLsYAf6PujREiAxh
0sXbZvLyiO4Yw3/YV7z/QlHMGiICuYAl856N9A91qflf+Ew85FvEhaFuR8/0H8iX/yZRQqB4T9TB
xopjiwyfvzsGgxppoFv3w062ax8Pvee93I3COydtq/9MAnb/URHjQZiNLp2CZ/5NKN35jvBKlrm7
OeiOfTM+laLakx7x6soU+apx+Mt1ePxTvPdXH8DfZF/8OL5yCz0vIl1InnxN/6Slq4QZak4gufMn
59VNw61jrTUqhLKOW11f17LOdv/6J/7P75KfyBUmZT6Athn+7ScqOXiSkl7uMPfUCc3JdlH9NqVX
+DeHwR9yxL/IFf/43RDSIQnmTuCfdxnYX2RenuAV2eJQ3/VZOhwcWVXbgjMNipvI9Kmz8urs8UJ6
9XRJymCrjrmeX/ibvitXvDfaJxDNH5g1gdNj1iwfTBdSt2+nxxYn9TP78/7fqDr/hymET4kQH6jq
/R7jG/qbsrHE3mXVUVbvoCRfgStcgLs/BlmkLw3QbpWbCmqe48YNYKTtOg/z9l9fmz9gqv/0ld0/
AEYBHjaXh/DvyYFLlk/0/yFKHIvyImEuUZ07lyCHaBmZNoLOyqMMdT6Z1ZMBZCi42GnEusr7MM35
3GWLkYzm+tPurPnfXM37r/63T0YUB+oND7sKj/X9Rv7LxSzCvMwRzjS71K68++uDkpo3uTccx6k1
E78TK+8bQdrVbHszthbhOv9GAPxnKvJfPwQHkWPfQ8M8fEg8NBxgf/0Q5Rp07JSiYtfg7f2kzve+
rww08ySifT8a9lpDj5Nr9dgWdfPNSCXwsHXdpIwHGXPbMwW3ANy1YtR45o+Jk+mt5APAvt85gXqd
UqAPk8rY2fCEbCKipru1Qz6eVe9Leuehha/ukObGNvNZ9W4XaKbzntTPwN6WlD8CNhtbdjRpveVu
qbjNH74YUZ9kTo0mrq1hpdFywiXQRvRNMrx5G/jXm9Gl5g+9drO4Datcg03rBIyaFt0vj9Ct7iDc
KGV7SR8HfIuGm59PaJZFXuDZIyztFsz6Pv/oBuBrqwNfcfanFNboIKsPGgDkR1WrjxxDFdRGWBD7
dmQbWrU9LUTBWvWNRHir3GsIQv7J8++KQAYAx8C/a7gCWshbSBjxVgFw+o3rVL86Xu2zlkVBcMl7
i3FoZY6ftl5QC1ao5m5MVbs3nQ3yIirbdGNX6J7dv+55nguFZmFfT119cWQwfuaApg4+LIy3Nkpp
+IPFaN5bTNu3lln91aIDQghZ28d6LKo+NoTLXF44kBbHKhwhKgDkPCHtG4Aruh0rtDq1bOBMLNVi
r5nQFtYRURhx7zP5z220EXvmPDAwQvCyiW0F/iXCVlWzlbeHH6LIjYds8oQ+5qIVeltmAReTGb/p
buXir2sCloLVKt/l3OHeMsvx1PSmPEawxvglvbBS/maax14fe4rJ6ghVTm7SYiRUrcsLomo9D9ZY
L/qcV1nVsKotCg0fR9tEziuncs53xgVKRYn0M3ad8YubARjbpM6wfNhujwoAP4/qT5UkN3qrwNFk
V8LcmNmbzODihSzsp5TwryiZdGO8ZiSNUFH348KQurWc7QQUqvjhrSGhW4tf++uuCYTd7VIZeE+L
Qa7vMcym+dYB3vtkG+b+ZvM3g7rr4cFVKf5v1pdMxxFzXvniyk+plGBZEz6mel4QfmVfGFJeq7wJ
fq1R+yIYZn4J2qY6G3U0HQoHtVBqEuIJMkW6D6lYmrglowR5HGqlGX3GpptS/0lHKj9aq7a3XhVl
G0wQ0EUFoGFdu+UZTSzUkMn19jSrcpO7UxeXNgm8+RqBMuqz7iMt2zdjybLEdnR9qAVipkanwQa4
2w/G2tnOXooFbo1OE/zZiEvkaDxl6Z3NWYYzUOC84LvW7lOnllPoiOA8u711MPIcVi9qhWPZ+W7S
eRIOkmPdOiNztsDKHrQ1XSxEacgdIgA3zXIsTWltV/SnB+bIL0aAjNYehi5m8bvrWnaZZgcjxwOW
uV3YRB3nKWiOYxeKK5m/7c6ZhxZlZjS92/S8cdvbj/bM9Mcy7SOrdWyUqeG9GkyjjuUaFWcIuz96
2uGrSQLdJxu14kvDufkugyY/ymJoNmpsn7K89mMnaDjJG8lME6Fmmwx8JxsRjPLkNKVPEz/J/ZAp
gwfX5RFr1bQ+LSn2xY1wfavYzE39ho/N2fkMgmwgWZtBdNHdl5BD3zerhqrNHu+YGet5Rl1Cwx/O
0auNapsBW3tq6cUBzGVZzV3VyFstjfy5au5AyeIb23mX0qhrz75Xgdgxy9V76yuruqXlVJ0LnyGA
hf34hNgBqVAB9syYu+Do6Pki5mzZIeUpbi2IWJRcBEr4IJxWNqdQMcNBzDdV6+kzN0LnhEdk2Js2
0rgRytHbJJ0oBXi3lntfWPWGdIojGCBAt9EY3DeGv+hqgoTAzv6Bjkuge+5MY99jPvkcM75r5OQl
+LNVy/oQzJQVsUA1knTu1+XeCJrhsl7cxY+e2ibSp/sejNW1W56CMnC+5hwW+yzr7L1BU3qxxgUY
Qt/+rNAJPsxW2Oy7bl1vrEieIyPLDqExxXLq/ClmbYQAbI1cVIctlUrGXP17swoNmXFkIN8u0Q8f
cfz3Gt8M8yyPcUdBZ3gZxxYuWV7wXglFrfds3rzHvrsv6cpifCU6dt2hLp8fwrrG8BKA5lFo0baZ
m+njnEdeUthmtyQ2st5Dhvl3Ny4sZMBLOzGuqm8SaOy+GqY1il2pkWCw9v3JmAbYSCX7i9kARgwL
u4gRxvH35+AgC2Ro8Lz6H6qlge7Wj0oEHpg7GHso+5eOVMYfA8fTNmza52hw1j1cpkcHhzrCRfnR
THO5z3oWS6XohqOQ2RY+pHxcc/9B5PMLC8X7Nsr+mTkh0nl7Rd3VQpAl/3rZZZaFtpSM6F6Rq+6B
fULxySy8noHgp0t0TPEuM2A4uUXws2A+t0cQOW9ZFiCC8lHp8HV+b3SeP64aO4IQeAnsoHzOWJdk
0TomIsxZ4TOGSgz4pr991mLHkeDNHQjS6GmSaDRcAJcTuU1RuEF16Tpx1NHbm4KDqnaRLcGpif00
sn5ou58+cjsfUGV7w3JbKxHt8oV7Pc5s6b5Tbfi3lacrT5TNI3NAE1l/YfzS15soVK9irrCkhYPz
qhg29Czipsd0ROi1zZlYbkj4ih5kVqyI7/P6pe4K9T2SRvEAy45xuOq6ojivnW1dZp1H39Zq9fEQ
pC5j9dGwza88CcWxzh0pEbW0/e/KC7mFotwb31H+5k//zd6ZLdWNLOj6VfoFVKExJd2ueTGa0YYb
BRisMTVLKenpz5fgOttQu+3elx3RHbGbKAwsDalU5j9aUP17cmljfwOAz6RI0bNF+pYDhk4SqYMI
y1r6PtigK2tYS6QAj5u0NlNAqoTOgg07VPKv7Dxu5Bp60770Eq/6gvB4QIss2+qerM3J3NTeZDcH
qN4SXWiTpreAwwvugk5lFXo/kd07GI66VRK03Q+tmK5Xypgq4j7JJUTT73X1bdEsrPWStnismnLY
eAvqT2p+rDPpNC5a9KVyT3In9qOTCpdSt0dL5Z1TQ5K9gOMUMUVDiXPsRO+cwcAGhzp2++twluTx
pLyfv2bMAevO7cubaai2jnSn0zpx3XYl4IyZsszoYc4ndy/B3k+7rFAH1Pf1OVHW7nOe6BXmyuvK
8HGuVfCjkM20Z5QvV8qPo0MJfGZtAIWdvQ3XvgJ/q3TSPkyGhtt88ulKMqbXQ7HE22DO5y+ZDXZ4
nYbBnGyG1JS8AoW3if3e4c92ENPT4IfQN6gHtgurHOItbSaZCvX8We4H2JjMupy+4RwJz81mID93
E/W96axawo6It3XKRN4VfjF999lavdZDMN9Y+dgRNVbU7TGwgIk23hTn9cZuTfM57SbmcJZJFeaJ
Eg5ihJ0s1lU4zNQrTBFv4bkKuZfRXF03BQNiPzeVcdFDmRBkK6diSw92ubWtpPtmJHb4reNvkxNo
CrkR5GBeWewRTtIq6a9LAjz3BczvmY+o8GuHnChlQU1K5Mo0xwnuAOieRdVAdJkRL5O3bsywqo6u
Q9Yl687FWeDDp1HcFykMHZp+79xGLVWs0x5LE1FxBEpxa7MdFe5WdDFWCeJhaJa2fmWGh2+FsbJk
gA7UDYJbsyNE9L73jOw4jwkrgnCicA81rdff55mMv0g/kNnKx6Bz3ditMlfEj/UHhWNuLU1Ce7UX
hwMdx82S9QCsU0rPNKAw78CWQiz4+NA7jcuOs2Qr3twsFmKRrO8ltToq9X/YYa4O+TwcGnNmFzKZ
3d0keeGQyLp87VOKZinWJQdWFP2ytzH3bMY4rI4CvH9bT5ONc4UQShYPyTkoO+m7iN9Xcdk25F5H
yzqM/OYFjwli1gi6jkdmMG+XxB+u3nbY/wcQ/iHcRofO/Pf44Ppplk/lfx274ql86X61oOvf+4kR
+iEO9LfGcBdPE3ggu++fDvTA0uk3bOTwD3pwhB5+2b8xQn7LEz5dSSRxan6M3/obIwxJIyF8gwgw
G3snVbP/CUZof7KlegAToDagl1RMkH8iPtmDkWoptOYJU1qa93vmrurSJrB/Wix/Z3U6KhoN2YNr
ui8BoZpffLSx+3bpNmZjLes6HwkFjasQppkI+hg2A9VbCok/yiX60rnjhMQkOw5ifCjgqL6HyWwh
4qe1+pcL/28AwX9TsOxr4JFeGlwXJBF/wueoDcjTlpjB3eIAQsf5nU8d5cpuVJ6wNkqGi3me9wla
X4J42KGy56knZ40AdDwkeZteVvZS7wtrEmckEjonphnrxUY5eSurGIebNsjr62mpv6KPXv/+0N8s
9r/CMzg9QzgAi3FAuRhe7Y/wjE0lTRNj5t11AFxMq257G1Bq81C5rKKQdsI5CxyPT9XsltdIPu8S
ZM3nZWwNF6ksMYgR3pp9GRGn32fNUsxskUKykIXgPR6HUr1SXRcey6R/mKvWOUozGZ8MB00AOZiy
vOqDoVpjZy0pejT9YxtWtr8KUeyT4tJHROsXZb2bk/SrSVdjvBGwuMzd4EAUGzIpP//nM83/jGf4
XxyZpfMk/vtp5VCVL0P79GFC4V36/2eUwPkL3zHjBTgPuJNKgn/NKOFfRASSJ4EF3LO8T6Ep9MqR
zsgk5IIv6ySIv2cU+y8SikJTo9ukr+voo/+AdfgnGgv4A3xNmhLHR1DLJ789U9dApoQQu2lW8xbf
O9Kx0jvtzezKMQh8LsieBqcwwXxS9uRfI+SLJ0ss7eM4oVVDULVZGNY7aaXXv1zHfzdLfGbayARz
CLuAXCFfDjz2MxzrdwgG3DHeL8qKHoqI8O+1IfO4XGOuQEakeO62PmKgo1+h/zurWfXmK+GlGNgi
Y75ZEPFvG2fobo1k7DxqYDp34xpWdagthRql71nN13GSfsmqpa9BRoAz18j87OeUmN9+M1RR9EpK
Sdjq5TCKhCiPrDP6Ltvj70/1zQ3+YVYhmELYUIvcASDKz4RFl7SOTGLw1wT/9u1UDr3aRTpCPGos
/yDSIb1JLWM5BkZu7FtjSB+kVxOA381JMNBV5ad4r+zsEuugRSlBGLzwkrLWQ1z/Cb3XU/OnI9Vl
T4zOty/OJ+4oCRp7JNE82WdqAbmVvryDUNu2CcPCw3Z3ObZzcDclyHOWdnQvl7AOwGv8apNXeGPX
0WBPR2aq9FQss9r94Tp+is8geA7HtAmPBoYf2pB5H2dnUQH1BVPm7eq6628qFsUbwRy+VlYhDzLN
x3syTi+h2aKTDgr8zOuU9QdyLbD1S/jDJXIJ7oBMhMojlIbX28eDYHdH+GQbOzu/E0ZxXgLOIaiQ
Qb3N3PxbDKiymZ1iXms9JPKhzl0jOs5RXd4t2Kc2Ocb901zvwTpfmWeGN+zNRil6S9l3g1JV1wBl
NdUGBpAyzrydKD37i0MlBIi2lRL1/Th3rbVGt5vdUxJFW0pd5vfdDDRDwQU9EugMWkPdJiKpzxsl
c9bRWOJWwhrS28RRiUFfjT1SglH5T5kXW8mmyO1iFxm2hyN9HMuNiIbkTprotczWPMPRvAQrhdGa
bk/XIl0ZW9axasPcoI+mB5zovODrEKXGas6i3uEwPJfwF0wjuxCHWmhlt76fE3JvEEC6yg33uxKy
eAysvDmkDXh5Z/UUd4nYbFbtMoGQdE2htqrw9E46UYijjcIioiQHoqHgcaN6SBq/zjCIj2GT3gNg
zyuSLxRbY9k8hqJ1LwxZzKdxHcx7KvJYwBOscETMVR1wxHRPAKTrTKblWYBsYUeBkzwhq5qViNNl
KzQR7VF21cVU5hKtYuOdlZR07CuA5msLvGlTj0aNRQVVFWuo8gw2LnkNezIP7KAZj5ZR3+DuLDay
Hb+VttPudD3O3hzm5RvlafWWvqTwEgVBu0nVmCI17cIQK2r0AK4I2mIiDR0Hz7mloQA9CPBGikWg
2CS49amzNIIfcVFnyemkQRGMaBNWPVT3vl3GW0INJeHMGj5BoDFdxG+YitHa8kagPdroRvq911bp
fpr6mxkj+i73mwgIIW4APF2q7OJwuMU2G27iwpopb8NRsipkZWzDlJs42VWya6zJOupWm1erY+OK
9KbYVip4gAGi8rZSDwXq+Fcj6dRaTl3yxXOqR8pvSkg2LvKSm+BMmYj2dOl8N+Z+22g8atLIVDT3
z1aj/Q8hUQKQaca6GnEv6bosz0i8bQHOuCVmvCNqwv0uNQI2LsYVLtqrApH7l7wLNm5LxkpBpcGa
pzHauUPUv1Cw88WzogXfAlHq9EbskiINXo3F/464BLeTgmDT4Y+7TIN2Q5hyx3C+rW3swiu6N8iT
sDv7dBojlJIa/2OuMUNUYYn9oBZcvnTYiJ2lwcN0KdIeQ0hrgekDLraom7dGHb7yqu5WHdGVa8ak
uqw1JJlrcHIu2hA1ZeN+aRwPg9hioZEpxg09G2CaoHPOmddgE1h5dH5ueWtMj1IDoY5s3GM2JuKb
QfrMY60BU/Ic0rNIdrQvDkUu1SoFsjl4IK2VHS4XkwZfUb6LywA8FoXi17jr5pXOsTmjURIWx/d0
jwk4b+ss3Q2rz5MlKhbgIBld5ZO/nBHcx3o9FAdrGdN1Fs0CH4FlZ4f8DTH2sgD0uNZAMik06SNL
aao5IlLoL4t4ig+haxLZoKFoZwYMqBQyXQ1T92+INY0GgNdl5hxx7vK4Fe4J6vnhB0QnfI7Gvb03
CJzGlDlbxSLPvoRdZ6x9YX/L6vmsjZR/TDqmscCJGtw+YOvEKo1biZbrdO6MHKlSLLAyBsDxmNfL
0yoKcFsB1ndhts41em/UAb6mN0R/LGAjJTC/pfF+EhfDW1UukABcrOtO8wImPMhOvJMFUwRxQHND
vfEgEyDDqff1U8pHNNFgGWNXb6TmHxCay1X/RkrQ9NHu6TMQ+8qHszCRlW1QxpV4Q2E0yF2F3DBi
eI6sL64azXw0mgORVpN9U5oXgckyf5CsrM4ROj7nmj3xvbA+uppRmbKi2JRxCMsC3RKK5oauBSIP
IGI0jgiCE+MGT0gXOI/nrDzmJQVfFUTReeNbA96aMbrMhLySS3+fUe21cixxw2sqOXGcydoSTTEd
CzgiU5NFolVnGYUvPhadrZqdCyA1a2V0lbdmS9ge/RovzaQJKLRp/qkbLyfRaF6VAwVn5InVq0qo
fsLMC4k1ejBMuSa2HE1xmRpZjuiuLjX9lXQRrzvqWg7xDDmGledrq+kyq2nqu1RTaKkm00JNq+Wa
YEs11bZo0q0ULgSfJuKEpuQAsOztpGk6N2n8K7cPkk2iSTyp6TxbIh8tNMU3yKwp1o0LI8KbjyaC
ckTYoGnBGX4QNNB/Qet5DsZ2N2QWW+05+tJoUhFgMvsxu3I4L10hzxHLpQeaz+hCe2Mkxyn1XktN
U6JkVRfN2MQQTX0G7IvlAJWG+WXCf9dtczxRSM8bE4+Db9SZf+zGCFY0i5Erry0nwCUVkEASnI1x
NbQ7Yyg7cnvSsTSIXYjxHzTjDAOcR6Nh7Xu6rkjzGDo8jjdz6kNuUGyCCne/kAFDMUyK7dsbeurB
aOwKi/1QO/J7ycupOG/GTGHmAi+211aA5eFFOth7NrSVIRY2GUDVoQzrFqfPRHHgTV368ozqwoH5
iX7E1Sg8skV636lI+UG7POMSsc34aJpTI3a2clp1NaCLrFeExnButd9BKBOpdm65Kv6B6jFMAd8h
QCiO69wLhvnABqat992UlGdeCIHgy4nrYc8zV2geIi0CiLPxjNgBTMCLPXdfXauw7gYMM3sXaeMF
Fncm3dkjuDuV4RNpSM6h9StnW2YBfsRkXOg17GMaQ7alN5BgMwJLrPwcQha5grsdlrmgoqGLEa+2
jj/tI0tONZv5cXI2LSEx1TaZO0pRlspXck3HRnbn41AwvkgXPwd8efxlwLu0G2diiphlTDh00zkH
drLOKOuLHvy0ZavSY6msN9jqqhkrf8rcFLZZdx5PtVugOK+jEwMn4UkOO2kCEHTlsS6FusEI2pzY
w9CS3WCOPjQZptPWHeZnrgDrtKGMcMPhMbuuSMQ5SdKRtdlCaGxvU88cLeX4XHd07QyLgd25jdIU
vX/kfK1q03lkre1s+ZHlmYjEZRv5MaRbZVT+Kx7vBOIv7dwbX6qbNgo79l3lvWzI5I/C9GvKdVtH
wbQSdnZBCsTXbkmC9YJifcVSNFmbHslQuBWvx2Z0zqpy7s9whiy0UROJ1FOhTsuXaMrriFkWl6+9
BDWbWKsqkUOPEU5FmOUMo3y7JuQJaqCnJ+VEJhRAb11/GOUZ2f2w1lGU9AcqTCzjnAymzr5KlxCl
6ZK2+YsKXbrsWV6+tLHRnOLnxflk2fIIsUm6DkFYiLwIU1r8lMI+Ud8alaAurYibk3oMbew5Jgp3
qmOOrFsp3YbZWFYZPrNpZbXTuBdO45lgYC79jssyly75ReWTUqp71hj7t8QtxNH1m+6sA3d+KbLs
YYJiQH622A2SmZqqrq5NHkVasQFe2jzGld/bT1lUyCPEWnzeExl3SKPxLkbOced07bJDfXTelVP9
zRpZHJQTq4WNqIfqCUu5iNhHF+Zdicse561IFKV+LRVGq1LgMlk5dpG94IX4YiIcuuD5xb0/2Vm2
Hjh8PIzgGhvDkiQULLHH2kYEP2RO/IdU/clYj3uZ5+aJOZlJtg3byTnPWSITwd30l40l5ZYr4RUb
F7CC5JSyIE5s6oL6JSWDnGgSQpc7emGlUxkhMU2legwLaW7MoL9yophfKfOA1h38Ul9zbBjZ2igD
QrVcHhp/GuTlXNUHOhhZjvi8UhO/aVdVVkSrALHNOk5DeRY0LavPgIYtJ8br2oYG4h/jFeiRdi3M
fLx3meWisv+Bo3uixdMfg/AwCLf3N63RC7meyr469PhKsm1RqNBa+3Pe7GOMjZC4bt2dc81/lCZV
VXQWeweH8nC4QmPbGi6UsNSaRic5EonSX4WmvFLY8Td5HnyNm2ZZu4hHt2CGTzF+tJWR8Xx5I5WY
xDleEcdpnVMLVd4FkMESsCefv8UpTyVkvkuHRBPKnSiK6ZkZZdmPXY7XEaaF/SKfV1g1RLPyVqFg
j9pBlR5jJmCK51h/EYoQABzhUmHwExIZo3dahWEChsRqZ51mfnZfKOrFvIYlJ4tvYkwrEg+cMMpP
3TZGvdRP6lZ4LtV9/Rk+weJmJop1ZReowaJasJnL2qq8qxeCPxIa2sZVlnTYhArXQIg95elXJQfk
EQQUIBWbWrs9TVwIZLthNg9ny7uYMhIh4mJytp3txA+8cRJqskZ731KIQ4bQaKJxEP6TObT3dSH8
C5FH2bNE4HEqVai2iDITlqzdMS6yG5f+nYcoGRsPUj5Dstg62feetfJXzAVqlwpF85cwjFPIO+us
lqN6GpauvcRRAiLvpLxwObI8Oda4iXC4lw7LBzjm76aK6SO05jrYyVb449rkZXB0C986E2QRbPzQ
qojvtrPXN/jk/4ijPxBHJFL+gjPp1oUPtQh3Zdq/vvzXTf/Uv37Aed9+7+9wbPFXiLxcED0NL6Cp
o79xXpifvzzUyMBSlOCguP6XuNy3QIBdOn40MaQzs//GeIO/0ICzaqIFhSID3/6Pcot1wvYvgJT+
RFZH1Oo5NhwVy7xPnEVhZUBKig6/wIr6IdxSklAb1M3WY7rce96AdcF9M3+WPCizu+GNTj77+k2y
CX3pYgknEST3T9Az8Jzn+NqbgwqRs5wXnqxZnpGcRqqJl6MrqrD/iCJz1rHvu9arjylyuC54XIun
IPDq6LvDslBcxCJtaod1XUq82dqtsRtdJpbZqxJUwWtzVvoK3eeZ5WN/0aWWErfNux/Q6MaK3/nl
lv4btFmDyf8C7fDemEB2IfgFIVdcdfOTrcMnEAULfxK8RqqivZNaVLdwDyTBob45IDzsU7VeKMNM
fxQm7XbRn5BLKMKPnw9SiPAXNoz0W4uD4d9/0R4vmRN0IP7pC25ZhzjDvgIdZ+kW2iQp7tpJxW2/
aZM+xjZoEDhXl7jkCAhkge0uQjknvUhKKsCrqnFa6yL0AnSof7hGH4FNViFE1LqBTni2YDQYlh+P
EaUgOT6tY7wIox2Zh+LFj/1mVwRu76BCaXshHnPPjPo/wOOf7o3+XOhYiFly5OE+Pn9uPdA2XhlO
8BLPjDnBwrouOlY9EXjWSmWg45clyzNSApKksgni/v3Q+CgL16ft0yxGegm5rIHNM/TxtGOPMk1z
SpwX7FF+46w9ZQrviQfJ6I/VQm33RQqpYJ07OXF/N3ln6oDTLkkLLsrvj+Qj+M6R6DRZ0s+JPqNw
h0Ktj0fSi5QcI6JmvlN/W3rtvtJZADOlJrIL5/0ctBN35fcf+c+TJ1Mdnwjp3iEIj/sJzE58qMVs
NtsXVyie8t1sicXKd16rhs7dpgG2tkdkeTYLzU4bDh4rcx5b4n7SyqzVHwbCm53il6dUo/qmy1PC
g0rBxj+gdVRlRKiiM3tOUmSexmEigJoHQhKdRh8tYjiXBKJUkouHsBVHD0flpWYy3EikT/O6ZGtS
3oQykRTzNV7V2tdyTMvu+ffX7CNx5cLWOabm7mDrmcOdz4nOg4qC1myW6XlqQazMlTnkJhfLnIj0
YxvQOqNxU9t5ox+aXlERQldqHQ//6cUiQVzXf0ATBq5D7MGnKQ2mpqPQRlTPlAIazOEZsxfuUfb4
/eydOpHHvN/FA/p5SbUpM2pbY+rzUFpmOrajSXBf65l/TvgttELFeIrptiay4/eXS8f6/zr3cb24
SD5+lDfvBfH/H4f15KiyDsvFee4iWxis7/uuLsgDW9DckAVGQgcHZ/gSIfG2mhuJATzIsf3dqJp0
dJKBWH2tJeK/+VQmTYnHvcRphcRy8EyjuKaiPl4k+uhwYkq0sVRY5Ym5hAV/NU8hNJs/PKafcvqZ
qYQVYG0RlA54ZBNoqcivkzkjk6SUcqwffY/dpLfGAeUxFKNogEtcWzhZmdqj+X32RN7Nvw1v0wmZ
iAH/NKneEc1uUM6fH2j38yxus9rA/gUagq+NieTTsCDCtJMRm8LHuuUparZOlwc0Db4HfGCS4HKE
0Vgs9zKZ6K1eDUkLIr5mwlfiOm6WyDi00qXcAB6SOMsgFXqBMLm09Ib7fACOnvUOjHJSYn58zNj1
m4t4KUSucgKsCv3SSrn63KCqJIuOtme4qeU+kDAORHx4xL8TU7AAnwQIGjtcx8KnC9Ymt4HtRrUh
tpSPD4NYm/fJgMz4ExWLB448NUq9NuhrT+LH7ETZ1FBMrTXeIFpb2FW0eYREkxBaW64NIjqnQ+zy
cn3AiBy596M5WgwyP4jxto5NSebqH8bG5ymcq49p0KeKgE4+Dyj049BwohktSFgXj4RjdGBnk236
dbdSVBK+9agrJorfP16fZyNb6whsi/c2hj/yDj59YteaHQyZox6chVxtb60GIkHKDdE18Do7wfZF
PEaZo6ECZdN+Gp/jifcZp78/DL2c/fCUO3AXMAPIHJBRoSv4dByLMw4NfJQkaLqUvbPqifk2XqsG
nY93muQdceVt5Ffpl7ELgKrh9bwKMWnQ2yN7Xt9XdHj3dtycEu0rbianLYKZUhcL+WYfGAQDN94y
VacMIiK0M4x0aGfdSBCLdWImJuOwGhNWF8coy3v95I+u51zavO/rGfUruSfj/vdn/Hlew7+FHoz8
Y1vvCTQx/fFe5xQRk+vf+Xcj9jEWsV6rI09s2CjGLXg/zvvEUhPDdnrPson7t5WtIWo9pJ0hU3Z0
E01CD2m7AW1rD2ltO3qKbJaOkIIGDrVL9wsVrTx1kZJ6TW3NgeTp9C1yEv8wej8pt1zMm2/dLMxq
3EHL+ix/aujKgcEr7TsdY8azRV+jPoDecHS0yPtzDC+vAxSiZNKPOHOlnlLaGnbqyUgslvHW5Olv
VYSE5U8op0k7Sols5VvNrCpxETUTP5Umjj7FOZaC0hDDb51dHbSj061n3hec7u/vFnuqD+OTU6Pu
1rUtHpU3c+yntxD4gUVYQjXfOfGoZ6q+bRha2P/T6ntvBhQVkzFGrPM9NKp+P0qkxdyQScginreL
FFYf70hcH9Qdq9SWy6H8zGH0Qdwzm5SpETLEXFXUenYbmDYPqY2IxV73rEj4wLSPTP6LPRYkBXEo
IBEXfe/rKAWP0FEeiSS0cW0iCtHXR0+F+dPvL8KnZzRgucDqykcMxLbT/MdSF1mMK2bRGLej9Ctm
h/flLQr0iThBdpYJ4pvff+IntQQjCtpRN6VifeZ/rJo+PiRmVrGErCf/thssRkg/9wSf7Hn3c31c
kL6KQgRlVFO3IgYSC+ChGHFEP0kmPa6Saqei/0JEXRBlu6h3KQJhF2KP121R8VOTJF7zup9KXlQ/
b1vcQM6RoVEEGOwg1k19O0jQ0jfCyFKLL+GcheO1WUnMYXsvh4m6z0Wv96m/P3f0PZ/HHKpRD8jG
1oqaf+6oWA52RoxIEzodipT09SF36nWkzCi7EPaCi2TbJK0gsRtDbZglEF9N2pyYxUC+BFhn0hin
bSwN9zySie9AVlZT/J1QWvOgooF4fgxFVfHiZsXSXiMqkO2TWqxCXbqjZU7LJkCM79WQVo7bDTul
vGC8aBuKX6qVkKa0zhw8XeGmLFswymzqB2QVFQ6FJVsRN9LCk8UgzTwM49IqlCaT4WXIvSnhGFw6
xPvZjdfmZA1qINONULyI9VsU90cwf1Zma5+4PnwObcJQrI9TPkfDqsECKnZj6MfOxpPGtNwqNAHp
/eAWcbRx3B5dEyU5YTWjUunR0YeprfJ17BXxAQ1uTy+TqZbTiEAVc28pK6F+3eiCxNzWeSXdu9kb
iS68Cytzmm6nfnL6c6PrS+OaN4Y/vHitEO3d4iPQRlpS4eDursIJC8Qed2M27TA/BBDuYV45drL2
Edc2wTN1rkH5khCtMU6UkfdExoRIuBRZdOQRWtmhj0qchBv2AZhK9xEhQeICybCR5/tR1DbC91ec
DU7PVZ4g6lr3fHGqkSG9WDRNJlcO3ghBOHrp1sS4DiHd3sVZSUZKExPbFPdqPFNeFKfpLnLxDXvX
EaqS5khnexIHO8YKcZireqQGlmiVLkgVWgLDFU2/SaJ2yeajiokio+o9lbxtyEhSuEw3Y50OpF0Z
A8lZRwaHMkj3dli2WBdDzaorXPWzE0zisqB5iy/9+zeNlM5Z0gtJCeHjSNpym+cFYNkeTzLR1rF9
sCbD8P31nHn54O+nMrNksfLcUb8XTfI/OB1s17xUnnDhoamk0RP3VXw5q1rVPnEiRkYWuZ87hl0f
c3Kbg/FSZI6HqKChlJ6Jy2/Jyc3v8YRExnLqugVeya2BU8IinF4yxL1Tw8ELWpwR+JxaBcluKgui
rcqYCGIilQjNJ6zcsfUhzSNkh70142ROm41ZkygcbMreNLzymx2TDtzsZAbFfTcQI9isgWx9rqwd
QEGJcW0JIkjViuNnybJqmlCv6d2ESgM2BkheHLHLqGHgijkFscDwYl3SGzel9PWU7459HPjE3/UV
A2ApWW/s+7AFjYZGeTvVpPcWLl+T+fwf7xKcIcDricUms8TtyH2xYI5s7yuZuPo6l26YgSUZtOxw
KwzYkMR9bRo2NA1JoikrrbUKCJ5r1hjiPW3Br9yhGe7J2xnQQ1mpkSzVPhlI6pvO6Y/Uh5xyp+vl
RjCy+ASHf2qeI2PSA0y0hr7z3mzwvQITO98bR0IbUl6xQaM4BmIN+dj1z/NpWwc/HIAbvqe1h5Za
3OSeG4VIpxU2IkyGfmJxLX6OnmjpQv6kn0EoaX5zfrsYA6MGZc77Gjf0Fk//l6MTGh2Tkuebn5fa
eP/xvy/y+8+BFBBn6du15AAsco7G5zwVddruUyo5OOmGRCw+K4ZCSM0bNuBo6lfe+42qlrFnqLHz
Htr4WFohwZrE1ibjLC5Dgty4SqMtC37ErsHYWoxoTkSMU05FEbc7lp7NNwsfqdtz+H4Fq5oniHnt
/ZwSO2WPtq4rSFvrMMPB8Gvm+619Hx4iyguuj6CAhC+eX+iTn8QMlYXn760GLnETwTfnqjH95G4x
0EL0J5ypoy/v+0BayHLjKDlJ/VestO34HJp3sZ2SI5voQ3+/oAbJQvxHVTiV628N0yvz7LjQ0TjV
+1gjWuZWpQOZQmchGi2Qj05xf9PRt5tnS8Qlwwd5oNQnj5SE4dqBZes/aI/6CwLggC9FiS9WreTi
6ctUQoYn6m4o4iJOdwSj8neTxrFih5Tv2bcI7nofK2nWYWbd/7zkUD0thzOlTs4f4Q1Q8eFZnea8
50eLnEHzjpUbbWKkdRp9ma7NLo74cC9LKrZMOLbANgsAAyAbblMyoDyO9eOMn0wDPXiHRBbschaL
03zihF2BnLDHNSslBn23kHiC8LD3R4qjBn4+6ZuOLywaveJC4h4rLmYy+MQjObIWUFEDll9cjHmP
u5SlDtrJIwFQ1XgvyogEgW1EnjQjA/5ZABJPyC2YYQjiL4ZgWxAXwY9MRgmlfsTRgnDywRRTxnwT
FxWtZoefcDKqoaTNdgMRa1X9fXY79K0H5INcjr3z9sz8bEHpIpVHy72u1VD9XYNSVIlD/37qE60J
XCKnnhDv8XqMFSnjYjEtZrmeMEj+je4oPWrAq/QQf8dPA7peuQLWYOvz7VNKagxsvji5AOhSoFDN
ky/gyqFrE+K3ArKY0cg4tdXyE4IqHgb16A0d4+odZFkQhLXRjn4ROhmPcdQs/I3lHXqL2JaDGjaQ
veClEXJR8Sgleye8rAXAhHcqc6Gfp95VKSB8TPgCU6Uj8IJbF93MTJPt2OvpizdgXeP62gNmE4JB
CZXj19sZV0r9oFieRcaJirq2TS9CJ9MgZTXwujv388gR/ZULjEVa7hRRwpbshKo9ehOBLixspT4g
kHjUtY5syXkZhtz8xYC3j5D64qTz1tKL9HCD4LQYfO9XMusrkGgnNVNnPFGLJyP/Kl8GZdy0LKZB
FZaahrBH5lvGl6FqupH2GQ4dPYxqKncassnIaiNlK2W9yso6lIR1PAoqlBrr2Z0KUdBQ09Qzckm7
6nrjB3bzbIq2vNGcAkVuAf5NZkth+S3YjKvy/tYk3w/xVeTNTjJdK5+1TfMSjkhH7IcOhW1r7nHX
jjKkIoh4ivvFJUGvWg28HSY2+xZ1iMUKITr86cAol1loE5NRzYZPUrOCmZo2P8/k/V42dQZAvPY8
h26DbfQ23RSErDHcQnLr+MLqXz+8aOT0T+AF5ZpFma2/51mmwU/M8ax/MHJAJ+SWnbvmNtKCAIfq
ELNajC6WfibxGu2hr5/KUOp/+TlkWVMyE5Eso//pHQ/X06mB9XiaEf2sLEyeATIeP1YVQYIIvh7d
eYkQ36mm1E95bCwaDuzgifjisizrj81iMr5dE/7hAtxSH3lOzwIPxfsHeS1W5ZuGoWLcvO/YSly/
PsqvkiTYq/x9wsrfgcYmsDQYTVGPBiG7Fik0STax1DVXSSMG42ZIvZpz7hUsHk5RO9bLuMSd+Ax/
LPRhDW8PnFHlvEdWkTfoh7y2Nc1I3MGkx6QfLXaerjwqH6TcJlnB07h7vyDgwHrSyzFR8XddcmHJ
ubCdgoTa32+vPm3owXKYHxjBb3Y96x+wMrmXLE7z2r5Jqkpw1D4x5DwNCvX2RWO4+gkqRoAX6lLS
Rh/77z9eb1x/4Sr0xwtNnNA071n49T5tbJE9VtjefaCq96kxAwPmKNgH8CT9/qM+Aeg8TRgeTD4L
yIr/L/S2/hfyUAU5AaEsJf8eI+TgVtW6qSPXvfRDOCtmZMT+fBnSjDuMSJZGm/XPyfH3x/IRQvCI
SAMVsigpwLLjMM7tj8cSjY4NfJvFN0RQMY2l5H0wRXcdSu3tUrF0/tN1/ucH2hS3Q7gHoS5+/1yZ
mietibvDpD5pouDgMc554x/R0zDN/Xyyf3+CnxO0OEOwW1TBFvWk+AA/A5lTkf0/9s5st24szdKv
kqh7BjgPQFdfnMMz6EyaZVk3hGXJnMnNTW5OT98frYhM21UZUdGXjU4kMhFwyDoDufkPa33LjoEL
uXe/nxhDMi9D+8m1JsfZjnbr99tMRLO8VQP65ZAgoOU8tyRHg9bONs+jv3hFP1/pfOa0Uj7uUwvm
hM2I7pdB4xTo2uBNVnNXfNxUA3Ud9/io8ohzPfX7lK8AeMzEnUmg0/JEbDTYaGQEC6tR87pv6Oy3
DpophGaQK91pzVHf8K9zf0TGJZ0s+sn18LHPEh/H7J+/iV+/Rr44LDM6pi9GsgZItZ+vG567TWeO
Wn9JIOnycSIt5BsUrVOp20nzlf0XPp3/7vc5Ol/k8h+QZL98Zt5INWL6urr8/tiDS7b43mtOVjgI
bRr/rdEaEbpoHH0mixzc3Kr/5TiwhohJNGnHPG6WKpgiefk2PKAEKEjbZnlg/PkH+vP5w3w2YP2E
fw5RCmtb/vnnD3QADp7iyM/3XqVJjDFeWXrWiyu5Yf7qFvyvv4qvzmftBVKKJvPXo45EvHJSsRvv
P0oRhNnLUhMSRcn//fm7+mW3xt+OQiNgGc+nSB/Ayfrz26p0SKwYAIKvemZSvn3cVqabL6UiLrql
nRz8virXemlLzLGeLOgCVwWlKMEaVjV6j9mgcwj+xev6kIj868B3mGHyEQAGN78LBvxf15i6zr7I
S5MWx7WpJ+3GdMZFJaGwc6v6WztXLNrXdRsz8w1IEZzpYlcdVg+jPFJFIA2KyeARTKROps1MRL+B
NQ4gZz9Rszj1JRrT3BjRwpqswj4TAE7c30Zmpl01m7JQM3BlvdZd1P9whhkBnizw5ZZ7Q8TgcgLn
Lk2SdQ2om+iIc07iZ4CUR/VuSgSXniEh2dMAIW0O0WwKLpHfCydP48dA/X6UO3QOPg8xsne4OT9a
oPz7pzlAu+CRQsu6lCcD1AUK7RqQanGpUBVr95R+rvIuVlssRab2UXMJlrZ8b7rwjZmorbYrySCt
WhlUaegKrwAD9scopuFxTtjKR4H1/RZi4zfw+RIvsRQXXtMz8aLnyV1zI/yaX1nmdDv9QWeLQh55
MZYtfR57hgIyjEU5TtIWxNnABijl6toypCBUkvnv9NEfBsPUWgC+4fEzDmYy5LH9QHLY+XW01lQd
D+jjGwtVk3kTNIHwhk3cuLbTQHsMMOs9sAdZNm3UprrpXuquZbnxANTFteOQ6xyZwzaRjWEAwzUo
hr9NtMStj41yHMwXwxmnzr8wzovEbRUEWQ6UpWo1whMFB9rYrWW3uDE3Fdwi1w+H0ZzBX+gaE5Me
HaFuOP56ggQ+nHIyMlpAHkU2pHT5gS/Z16aJ3u5sHZfNq6uX5BmEEezJqlohDi3lc8VECOKS/7EK
/P2MbNjTx+7JJyaPRqgCrWXi6Pyo/xjIL/UraTbLw/Dj0gALQpVaeUVOK0nMcarQ9ktIJOT7tXHt
8TIIQzVXA+ECwQMPl9rHCwD0Y1umTuzgPImHe2dKnSyc0iHaEZti7VPdmq9KdNF7Jiz1nSfdxQvm
JBcv7Qqyne0eJCIX9R6iXN2uuPuS1wwQ23Osp3U4BvgMVj6kqB1NOKMuwh2OvtBf6pzbsRqEe3KH
FCmwnZA22eia3GbeaG+ymjhXUKWdvqFb6Db+pFsFV6xbfk2EujcNWxylrcXHsm+7jdMyGkcgE+/7
WgVhEgz+rSeSBr2BSN/StokInkSKDCSggmsWNAd/Nsst2Ha205g7UernPuJfO6u87cBfifN3Sl4J
UFY79BjRWxPkxS4nqhRsaIDfNckAxgArQ7dcMDpqVxqMlsdhnP0v8IgQ7FqqfBh8M93oZqcfALUm
KQJ8zTrZjA+3smur9zbzoluGmik6qs4K3gxWUPRZhjDuiDNK0q2YcIoYbdndtb3NIISjIGynUR0Q
jEN6ccrBX0deECX+c9qbwXSFMkJ9bU0SIDa1Eh3tV1om0wrckf/ud45XhhrMdQhyyCRC2+iy2xE2
IP1bWR+dtjMahP9J/UXPWnEaPVs/tq6xXKGRs+x24344jJTZZ93L+yum8tohza3EDH1OvzdjGCwi
mEiESWjnhfZ5gMbw3mga/K7UmL8A96lNlA4CWeM8t1y5SSEKwiNrSVjLPOTjgZS6Jl7phkgvk4Fl
BTPkiA3QKqwDSaGFOMixkcToKPPoFCU8Pct5cobpq66i6GIb3D59q7qQkaeeruKRWL3QmTCM2F5X
Qdy25edJjNSKOmv3uF2pHG1GjhcidjC2KMv+wsa8XsT01a5mgIEvA1bvSKTRbZsQd7TOuy5+bJKp
eZajADZELPC4jgwpMtB+OsGXiAKinBtvTFCFo0m+CQg8KdbV3GdfspK4HZZP5VNVp81KiN64DVhu
XAmT7DElsYgAz7a/tL47njL2EISjMQjml4KriJRGJEis4pPrazVWXiMPvkiNYiv0qRshNGVtc+MO
LpRXs3Fd0j1nb9+RynKDfgjNyZDIR7OuxA7NPDF5one/SCt6HOjfH9Glz/6uEfa0ypoyfifQz9kl
nQcinPJ0uu9kAJ1c2g2b5ByLDYiM/soNcrFrqI8JvPLa4DGoOsyPo7AeMhnVr/A453fFBY4xpjYJ
Bsmsnc6TImzGprtfvAIrArn7kybb/GVeYELgTCMUY4y5LwmuKJ5lIGh5UKY+cyond/dgWqK1aKts
ByxWPqI5s3j9vXkw9MraZq7VfmZe2NwEVSL3xlQE92Up52PcZuCIPY5c2vMScJ+tdwep7OGGWFb5
IH3f/mrl4INXiMMJVSPLboOmc7g2rE4dR+kNV5h9MTgQR1jtSD20Q9p2lJ+MY4KrWZPRCa+KvAUA
mzz6jHQ+N7PfPfDAj/fcbN55NrQObZWbbkmDd05s3g1iq8uA+FS8JQRnoZHbzrFW3+AoSG7isRbE
74hC38ohaz6LTtnYLpx5Pkl8L0cEVDlTi5J8dGsOSNqJy3Fjebm/N9hFroHR2td+DxgvUVJ70yIT
bdxpcojnJli8HKnBQ08xavdPkP96r9voNYa4DjuCiE6DJmKCZo3iotlT9VR08gs/A6WT9JKntqSC
yZSXXcYgQxbqCCM9BLUwX5QWKZIzk0E/I0FS+P36voGLWlg2tjADX2FUS3+LdaIK8Pr4ghiGlpyw
nj186Adz6WG/6YJ+VULfBnmJDuE4aZgq7dDVh06emqBnAWUQlTNcVXZTXlujrd16VZCCChtlgpUL
e9tdFqd9uWEVPSVH6AN1GmqyclBqRpGh7by+xXI7+ZVUyW4pPfQwINWrqCGninog8yRnViCLteFR
uZDfDIfrzBQnazGUGfHDAECXICu9cHGf016Eg0GJeOwYEHRPUDBmDG8r4IodmEoSrirkTvu+c70D
jim9yh5ma4rwPBIfoAcK61fc6Fe+zaZi1xRTBZqgbx11D3wRCxU0oSKQ2EAiUnTJjAxGsl1R80Cn
s4vbegJOsRtogLO17jWmfhqCbKzWkCN17+wVHKchwr05rJm4HTITy55rePmh08hnza6LSXMDGIp9
WeljGTI/KvNFPSZMp7zuOjvzO/IiMxf7XKXamvvBZ+26VsZklhvbAGByyhO2xoAwGD+v524kq9Uq
JxZSnsryfZUSbb2JB2c45ynj2zDDL7q3YtvwFzxE4jGqy6RxlcdY3SDzOR6+zoGtvNuZ3QWXzeiR
r0S4FSmahLutJ2aJT4bQ5FsfUJpYUkwmtMoIjxvGDRM4IyVcotVEuCwSOZyFiXs3Yd3BytEo4sXg
ubFw4V+Ap5mO6VcOocZ3CRMuBJTQxhiDTV56hpdshAmczznjC3bVI0vmMtpnxKl9ifv+ZZ6T+DFO
xEuMEx5mXDOU9wOak03kR3Kn8/DQOSRcyVrOm48FQY0XaaVq2ydkCItGzIRgIR8Vq7J0yntZFW4o
pTutlJ/anK99V+JmiWYyaQvWi9BJzmw+fYIGx5Z8HciDo42xOrHgmUsJqaBnBsX1wAWzQqc3vBm1
yG9Fg8kUkoVH4l5d1feqabt4o8a4j66YZsfeSiux9pdkEoVmhas2byKH7ljH394l9TGPHO1s5qN9
NAXL1DrGCYUrN8boakb9l0p5ajePplmsdI+HcKgHfdMCnXTrC7rGgZgzORCz2w4gdZucUHPbbcnn
CIwyQtuKUFOBKuTNbSaG7/czEIi3iH18s8vY+4WSm5JIzymXF57yPPxTNy/CNKO+4CVEdzx1yE72
AnetwHI9ZWSBvTARHLeIiYIdwXnl1hNedqPBxl33pZs86xU4wAyFWkzjtvXMKPtcg7kBEUq42mdL
j+RBmRYB3pEcMx+ahbIPhJHxpmOdyXs69muacOs6oy059IORfiVHzXvJo9h4zg1rOGEIRjghmvoK
Csf0xFLAzJczDdKjRebR2Y0ii7qVw3G5CO2vdr406RMRMDy1R+jQde9rKRSFlAUtQ+7ahUVfpRAH
5WL1Yt1TM8T08JUDQeYcWeHLypxzIVrzNQFRDcK34DVAmvbwaeb8vd9zR+NVMgnnCpye6YVLmEoh
qbVIZgcw0X0SdG3JOheWpb/w4B2I99D8AQ91l7thB8djnzaO+bjoGbbG3OeYwZfUD8cZs1fV+4LH
A53nFqIyKq06cqwTK0V5FGASAA/ElDSnkXjY19zsxhT4pKSwTXugjF1HStKOm5I+TQmmq28927R+
xaawx9jbWweG5zFSrnScKeaRs77bSFujbekl3dGe6N9WGuVIFxZRo2G7a0q0yGS3OU9dWxSfPQFU
LW8tguZ1wrYvavCMe7Z+5LyxqubDcrshKXYkt3YHTr9q2JDFiq+0GYnegnXSavXFSgZg+FiU0TtN
pe7gGBc9zgeUMlxEazspE8Ay/TbuXVY8oCmynCJNbpY2tl9HYEBNamqriubnqlVVfr2g81soA220
hHwGcLhxJBsqBomr6QSX2tckNUR4640mtb4UyFm1at1rgHWiLYs80gbhXtduHazptkdbrCAeli0R
TzxwHULL2Kv5xUqhMrensOqJBQWr4EeMdNatogETN0XP1IoYVOTngdpKJZr0OY5zu45DcoYl6x1c
QlYFTHEk5qXbxtRq1ZVKlFZ+I2pu7B2wrTlANRx57ADJ0DXZCe0EAi4C0ORka3p2kymId86TrSHj
UhkKa3YTPfJ73v57qQUe0eiizaoJCH4yOs+OdMzk/mOIrIllEdIVwTKyNY1oFMcA2g/7CnQMy36G
+3D23mI70kd3h9575n4DEh+kn5UAoJPAjWcAp9HZRtkAukZyHHdPKmGg4J86CsrxQuiRPtkwmlrV
5LuZrRvfFo88QhdfLV9VfRk6Raem6mgp3h6szBr1R7tGjEO0+L3VOSJ1Ny4C2hQEniLkikBQIG/U
OPQOcbMVwsf7jHwQ9hLqqLOJyIzSXQScmBjkKaJ8e5d2XjlNgulwz4R3AWNKVQz2Jq5GO4XeO6AE
IptCVrV/min9iDnSCheoXEeMmYAcbjeBvfGm2bJ37CPLJ+Gr4lFD9dOtzO/pqrbi3tmgginf9O9p
rKjyE5lvarcNIGhK9DPjal6yYDEyKWD0qP8PQRr3Nw6q3T3z6fRU65G1zk1XnTNjmsj4s0pEZH3A
glpoBfHDI0iPhhLOW1kA7eHDV0Ne7WSno64cfTFUmIb6/E3MkI85Wm1gXi7PURV21jzdgYkliTce
tGJDBUqHGGXCIenctbsyjEp/fNVmUiPFyoiHxriDAZg74ZBW1VdJ0oZcwYmlNahmODErXWZGsqGc
IKlKJQ6hWLE2LhMXKmqzWs95Em/xj/WRti2V4SMaMknxXEe6XRNnPOntnmhh7zPJ7TYDSy+C8bhm
oJg6dKgeUJnSd3UVmrqjumckGcg5VpJgr2SN1qTpKZAME70Tw61LTOeNw7ehDj+PLALH1WDl3gYi
QXHQYshJLYJwTB9o/gQRVWtzUoCxKydgVbbkhuOn4IvxxlhbWWj+9o0oGizcDMxeZ4QUXBtkkitN
r3mfs9i6hhhvJr7s0A4iP9hkaD7eNURVDA8zEZ80juH2heZySG69rJRL1WWZ6Z4Kxj1I23PSV45I
a9pZvZ3d1YMVYVTW4rdY4oRd+eDGkNFFisnIPKcj4Ep9eASToW6G7xHyAnsdW2tI75ym4E/QVDvB
ncH40MPiWw9XBkMLUO5odj4N0D3GtZO3BJDZ2NIb8Dv3zZJr35mV/uySVLwKPPSRQJBnnAPtPK3w
ZU0XvJ4mSfCq7TGbgVpsV0HaB/1V7EpUc201I1ONo4H09CEoFskG3fAausVkbtlcsf/V4XO2YUwu
HUevhg8jXXXCQ/ZoxS1ZCXE1tWdLCXWKTaP3Q92JBfGYCE8ehtHrUEN3Fe8SlYL3YgNXBmpPAX4N
BZOKt/VtMryoqScI43kUIJPJm5ScATITUYQxLrmZSyYAq9kVwt3kPcK/0NLLdDMDD2ZC4SDzQ85S
Qo+wxLehTcAIR+24Hjpn+uxxWvTHsaug4hdN79+RsQPJttMcZwmRT5kClWZ9torIPILQzj3kS9FU
rgi4DI4aJGLA4ml+GDXR3qAhzNZo08wvuHVUxf7DCybQCG0m1x6pI1OoSF5tV4X0u2gD9MIvOH+l
VRwzw5zArruD86RFiRgvTK5yYMt2XU6rQpTG5zRAiUEQoyEvNcoXfeMNzkRTEBCHuSIjwyk3pZEl
D7kzSrLRcp7PPfV5mFikLC6fG/R5a2AMbZl1dPGL0npuUH+A81DFZ4uIkGfZ1QtFvmL2iNITAVfc
c8kX8nOsDXpMbUVCjUblcZYK21HL3OWlipV2JeE1QdlPc++6U1196DDCr+nIczjZTEeIAfTB0zFb
5TKI3VdhztZmtPX2rpeTeZW3NTjUrPeHpVrTSyQ9FSMer239PTCAygXVrlE4weWHiO2YfXGHizcN
JcOtUHKp2+vGItWG8sU4VhOMrjIbjOckmsZnCKTGSrRKx9Lp5JvSL6JvyJ0xwzt29+hT7u8MOzJe
a5Txzzo/Qh7uyAeHFeEZL5B/HhEf7ETfcdf56gvC6e5GKB3Ys9/VusF9MN8EsZZT0Rh2ueN5ALZd
+a1FSieiGX76NDSm/JQx7Aj9kUalqdNqJpvCqJ80v7DB51h2ubaZ6l8JURms6FCA5pb1dVJM/4kb
BSbTyFceUHnZA3zHZ+M909ESVXsn7ba2nesuSxpO+db3F82UbPBlI14YJ0IP2TWwCK2v7QmJz7Qb
TDwkJuHg+tjBklRJmYFejLAlPUbpODhfncqu831W+2VnryNb6p0W+r1jD5LDK0dlw64N3UYWGKmr
hwgCjZmy0dendC1zV+rjlZpGppgwTUZna9vV4L+4VdVxqDQiL0YyJj0n0R0wchX6iVCb3DhGaGOj
/UImTRmP2guoK9ugFHm97SBRTUT9rjfa5LVAXXQEhJtWDNAF2KSmcY6KScTRIm7nGmxYg8RZPOvN
bW8RL5MSIjy6Uj7V/hD1WciC2Kfvw8qUjtkly+pW1WE7kGVkbHRhqbZ5VeAbjGnF3yLSaT3UNiUZ
UcsJJ8Oe0F0nCwgqnZZ3YkPtgw6UAB7ymk8KjrjpABLyc/4MjT4076PWtTTMx2xqo8Jdj3rge/32
z9dzP2/I2Rp6rqGzOlycvCxgf03tY1TmdzruhfeyFou3qf/QuFhOJVmUk+VtKyRpvT5qGDBSGBft
X7yAn9fNywtAKIB5N2ABjAx9gQD8KNFInQlvVJx6b+S1Ly+g/FCegD0puOJIp2iLj03p/6c5/AXN
wcVk8e95vcQrpBVRgT8CwJef+APjYPwGuRNUAxt6Al2Cf2EcCC39zSYeTGeJv1j1kQ78CwDu/Oby
lSLVhddgw+yFisq+tkv+8z8M5zeTGlAPWJSxFMCB93dwvUsQ4Q+iIgeLEqISjKV0ZT5zvO8g2R+U
Pmw82T+mBrOSrgSfvYxjxsI2tRVVOZ1tqSyg+myaphYU9IRgMokRFoI1dENimDzSHrAyvedVdrB7
JpqoUsWNUY3mjjkVyd5BaVbfzFrTFRJOwcjAGT207ib5nitVei1pNIjo1wmCxhOFnDplfj99EjAb
zQ0dRPnkUn4+Vk2pdqrO5wPszfFI98TIQAq0kOsGBc+GdcSFWJBGfdxjf+uK/38dRx2g/fr3V/dO
wSgpvxQ/Xd7Lj/yRgen/xiYy8H1P99FR/EijDszfQAq4XN78L5HBcKX/ybf3fmPP+2EZdkhiWAAi
f1zeFqGaEALQuP3fZGB+Rzn8oKEwQDRBNnC5vDmjUQcsx+gP13cOjba35grkWjOmm0oYDbDVLg/L
qrsBeVhuOsMp13kWf/Mzo3rQPaltu14jrcnbZ9kkQzMR7Rb5BJgnZU5XkZPHV2buDd7Kb71NlCe7
oQLbRPQ0jLXasF7NeazCCV/NCtDRS50x9YqpY+ArqBODUDSMmuesbUu/zf3+madxxtJw+GII6rA4
7+Nv3uj3m2aakrU5NN8ISC82ccbEvbPIPfegx/WiuK88bXnQL2JDLNbjhiQadK4kIVK2oymdVwb7
4D3jGRD+g/4QG5kBsN2zWBP7/qcuaMBRF7FdoV+QWbqyPCP/OnWiO02QP7f8sXs2+3G6pY6hIYRR
W+yjlKmTn5fErw9RTbBNml48YVxGPsuzD0OYaaI49I2X7ix0BGEWYXjRGjB/1iDao8KH462qpMHr
YUnnpYkUmDq902nBmYZmxqMeGRmtSO7uZnYL3wJHW3aEQXCp2TWt1SSQOQSZ+dnPOYKMGm5uXsJ1
SbGL74e8EStE4s/kSJ3thTdml7bzOJXTI0gFc99QSZ+rRJVXbUWbwNSpiEMCAewwpap9KbDD0PAy
NWDCAunMGYvP+uBOb7A821O68NBawyW8uNHaV7NuvujfsWn5d4QafSIqNxMFwQ6KAJA1ZHUA1wYU
LnjcZHo1OFpwTf9mIdasm4NXRxCRy6p56EwN2KALy40ugzgd6G6zHZVXfo4+uSfA/Uit7NKxAuUm
2S5/SyWCy1XX9Mq8TVwIXuduaMgs6UaTEOouH8tTNHRatnFwKx3mfvFn92MEjG6UUDkDYCprZuVN
hY5AiwDX+UWe7dVkVncc7CThmGOH+4NN0Lp2PMh3MaNPVak7Y6HiOQsfr6qYpsmFmadL/5M7FJcA
mN6kWdO6FMUnEwBFWE7iqV3Ie5ac7rXGtu9z1NxHr06AMRo8OPRQtZjz1uxKJs573bKbZ0xR9dlp
LH/fsSvYoNNrP43aQDFpkBfFsBDgI6ggljBtHh0ITo/DOHanTzpY4O04lN19NnTVieVD9IDXMmDi
7lUtQmnHP5qSCl/xcNl6TmPe5bUsrsc2LZ/x31ivuHT1k6fDzNnghcnIwJgGlilg6PGCDL72iWTm
8UZVpiZW4O067v2sH4iWKLVs1y8DC6gCt1KO33TgotiJawBsXeCtXGZX4Yw8MZxTSx1ShAQgZYDS
RtFzriM27z19rw3XTe1BKcVFcOVKN903snxXI6mA2O+rbdPrtFY2Eq+qAIpWwQOtLCNY25U9PhjF
tKR7rVtPotwp463KYu0OedLFzNq3SLe69y6RYqvAoiYUz3YeaWA3yAjXHhGb+El6gjFYFO1F2CgV
SckcWtp4Klgb99vWdSIzWGp1oZ6QsR6JMLW+Lqm0bx2l9bODaegmahP70DQGBufuZp410pDiDoNp
544rzZ+LPX0GWfGzZKfClNa7zVJnmZO3q2xk0WFGYlchHtswnwKSh47sqU0i64KD0m3ayV1HricQ
c4jhrNhmMiXJslPg58nnLOiia6uZ+3OUlvGZeWzRbEzm0qigNPdSqhZwc6tZW6eeT+OQnrrIO/pK
khI6Vq/mZF0xgUWs3SIBYUSCjGNMr6JI3o9wqMM20G8BABzRMHnhILp5bUFrWwMLHrda3uSHuvnc
QNRPLadfxaLoaIIb/0YWUcqEQfTXQcZKXgNK+IRzRq1YeFeohyKmMsLIdJb+nXS2xKLAmtBHRpaR
55U7LAp1uonKISTU9Gvh2LejaF0wF9bQX4lSmGGVJtY3Fgco7pWLrKOfbpczcw0p4TzbXr93ZuPI
92XhlNfrK4rXceU0DRlBY1I/uDlextQ1iKTTKiiM+vhmOjkBkm2Lsi+ejCXU7761GZ94cqofsKqw
XFTwGIXu6OGEXIAdooz3wFMwQPaeYO6CqhnwjH5fSK2+69vRZZzdPOs02scOG+EGofwb59SW2Tvh
cKhMX+tRErykKA/XedLM92StPzkIuIg0TrZUB3k498UnekFcVbYTh1hcJhq5Sd7ELDAhpCNXK9Am
SdQJThpPL91cpqEfx9CCI5QF7jzsSq+o2MN3+HIGAi7LYLjujHItzfzRLkiBaFDPEkbVjICYcx9F
uYofPAQwEY0/XzNU7zr37vthfp77Ib/v0VkgacN2hgGk3APyStb1qJKtgszI8hCJs4M72ZLZzmCW
c4lHdWnBI2+MxvSPQSYI8UvH6YqJ4HRMUILvCzXgC7F5jumRzxsFXwxohn1ryvCM7FS0Z1WPV6TR
btEVM8nqUHBZWXRNasQl9yg/agaH29zOmIt4vTyabjSCP+dgkuxi2QZFD2qct5myn2cmR1baa01z
l4yK+fSKmGi81Qerp85OVlYCqGFlYkRJNokX6d6TVsT5DkhWb4YmMWkdAidRXU9BTYQd00dKjLyo
nji6HVpyE8BY3xk44bRq08kk2wLT2ndVb38yOtPZMfvbj0FwhhF7Cw5tWBv9dLawDaytOOEJ6J5r
mLAug7pKxmGGDjLR0qtYsrGpFzC1b1TbjKH7Mmsthy99j03ZZPkSBLm7mrgs/HFYS1xe1FruBiAR
ocCR4GRMjhiOiL8heLh2V2givioSOs5xj+AABOUNpehd2hvJNvEMd6/ltR6abW5TRPG0c8Ni7EmJ
9AZOLj/KvxJVadyLLt96xVKnJchJzSFyHp1BJMjumonQQRXcD2bJZzkE7xiNqrMyEIP1I8mN7Uxw
KQ3QrSZVz0MEeO41K/DTkgvE6FPZ/WDCj2Temm1UQeG9EQpLSgeELUnns8Rfy4LBB9NAjKVlOedc
gd4Bj8ra0rvSAhzizBGjSbtikZj1n7Bdp8FXZlCT+Tu442+1Rg91yX//1/IzpCqB1ImT7nt0zL/+
6X/WPe3e68uX8r399a/66W9u//f3P47f6wWo+NM/bKou7aZb9S6nu/dWFR+v4vd/83/6h78jGv9i
GGAuDfy/75fuv6RV94+b9F3K93+QC/aPc9qod8ZOP44Hvv8dvzdQjvsbnROzOvwODJPooP7APGr8
0WJCcbmDDIc29p/tk+39ZjBVRQ9Gm6QbTID+2T7ZLslhzKWIw8KDwI+bf2c6wGDh5/HAR3C4DncK
7b/BuWv+3D7ZqAYZTC+pE7PVksmafuJ3bpu2PCGOxU5mzXCEQfBuCgJp2dfeUYIe5yrytz7xFVBc
kWbIiSyAjAVKZ1gvzpDS+evNxq6oac20PNolSHYZb9Ga35Nv/cL25Zst7PXkeEflaod4rBh5MsPj
oZK9qQxnW2A/IeMkhTIaOwyT9XOQzE+sgQPEWPNTFjt52GYgYu0xfi2hE+xTb+7XDNPAm1ve62y0
78zJtE1ExOWG1YO2yXWozYxhbnnDF8uuXtie7msn1+liSCRqnRQgN0qdxG4DrMPzguDP5/M8zfOe
nNOzHDGu4YThFaTZN3/ss5UNAogVSPPMFuElqDEHGtGhUxZspiw6ICPbGgm/Hlz5q47hbldGFmEa
RiU+XlbaUi7JxtkVfSWWNIrHQLtGfkiF5eeb3q9fhsm9MAXVF/HaWxL5D7HNK5kxIYeVG1TgX3SQ
W724sRt27zAei/U4+O3KpNZE5PYWjahX6vxVYtaDbG8PK6qGi10bn8oWJnk+vPTu9NS2fHNpTi03
lcnrMHtXs5+BFDEleSQF8rQ2cjlsIQglsttQot5owfxpxpKwJt2lJ7iYeG+lblUnbnKExNCoeT95
MAfrwXesHVASIoGNkxxxjBcozDEnIIbwnztbxwOu+m3RA7fGpM5IamY6ZX/29MWtyU7cKCqeXHX6
ylJpOvpaITaxMokNmez8kNTIG2BOxsht7FuXyjtze7VODc06SCD0VymIxzs7s7ptNVom9ZM1Hopo
OrMAqkOvlXaYJy46nhn2bzXyEjTs1tPMyBvj8LTWIHJsHF21DyAlRqKsrHaD4pw9lAOhvdCTGjJC
dMikTl9P/OgY8aBPbWsHG9yideguk8d83km4NItBQ5w+c7G7DvGQgpQDCzlMFlwZfFkk4LzMoh/C
ynG3mGcPhp3fkfVz44G0xmPZ3ZTGZYqzrdnkLz+cXjcfg5J/VKq8Yf3Rtf/5HxxuP44HwcgyOEHR
DqnSZID5qznGrfTajpUX7/xCsMWtnd2UuXsHWTQXVPEXDqpfjXAfv81iDkkeoc6Zs7yaH4Y1vTIM
FntRvPP8mgi7ONhJ1FhaDRUj28xRfhmcYd3BtOKCbJ///J3+4gNyPn45h6rr4DY0eb8//3JsLAim
HDPeYcZ+BTBUh4wm2WEjw54HzprvX0TZkrpZnNDNnchx+Rg38njkUfTffNg/7xQ+XoFBxpS+nLS6
b/7iILMtxy4b7I07CDhn2yxPceJeYcvBdUHYTZT/xcft8Zj49ctlvczzwjDRsvGef3nHlt4CSODL
jQLbpntz18n0JHOwK9zyciARImiDBztvAhhSw1Nmu+dOvJoNyCQnRrfNVjpKt05XHTERPgW1hjPx
2GT9k1/7W2Xme0s0lzJodvP/Ye/MliM3si37RZBhdACPHRNi4EwmM5kvMFKZiXme8fW9QLUkBhgV
caV6arNrZaUyk0rpAcDhcD9n77V/SHVM8kkMVoMINWVkPUob7T4d2HOOKC3yLHgNu2qHiuDAAWnN
arSWLZ+E595a8cH/3sfkueTkEkBcYc+IGZF8hBpqmbJC0V9yqO5eC81+wq5FP1/W2AuXo4S2Xv9h
FuU3NvPpQucT5uSNck8AB61gu6T25SFtz4bxWS1YPi31ORqsJ3+Un9E4MclK6wayFZJYy9+nCB2z
XNrm1DWX71Pvf/dSF/ZSNDX+807q/5TN21HVmf/3nz0V+7dpjSCu9I/myIeeiin/JiMxtdhJYRbm
LWIJ+TNUVf1NqGyKaXTwghkmyal/FZ3V35DmTlxTgLTY/7V/1FNRZ++VIaB1QhRg8yQmu6SY1Zwl
K6wHUEwm3nUluTfkjjPKiNqvw6s6peh0yQ5LUPLUWJK3B2bXjI6BSWqZS2P0FFQ5DrMgiVdeSe6S
PhXlOE0rtwQO581KwZGwLzM3uBFSaD6onZU+tlZlZXRXYWn984n5P9vB//8bxzmtev95Fi5+grD9
ebR55///Z/PD/E238akCZuU7yV6bB/1nuC8xvaoBHX36diKH/nvzrlj8SzpTU1E1njebgb+nofEb
jRSy/ujK2aZtW/9k7z5Nsg+NDyJl+QPAftMa5s+SzVl/uFGRDvOmVKAU/Z3lW6sgLfdeMf6zb9Yf
w9DLgf/NC0nqyvE3ZBjhY6njUDnNlEtQy5t4eHO1H1rv38V6dPhw7098IGcATOAL00VhsjYYilf1
HX/3YYMQcUmKC9nDsUrzxsONtCSU5VsAy3FyI9vLUs/XPbvMhT4oqxKzSdhK3xU3oV0SXOejv+vL
B1340cb1qjfZtp8Q1D9f+I3zjur7b0QZBbKAm0/o6vEdUdCZqb3dV3xV+2BBSMRSyzU+XrKCTyAG
K6QUTwXpKAZ12jyi4TBKbK2ksL/TQ/tKJs0yIsZuAcBFxYiTNShjkgsP7X0nMZ8czDGWQc52wjKm
nciH+4hTPxsjqqsOpHL21cWwUMhvakOEwhyw9jgLvunkjFh54S3HsL/2fL1eaAVoNS2B8oPKT5aa
F7TK34mPfhy9dJtlY78wZVddn7+dswPo+xO3OetSicUFTbTt8S+VDFrnscndRJmcOMgKq3UQuLSU
yEOKMtvcgj2tFkRckrXVyavzg0+P6tNtonEo02oXuNGnH/fhNsmNlaPfyit6ZIGTCpf3SHo5P8T8
NYW1gP1kms9CI1BBnw1B1EKg+1pYOYlsHZqh2gZG5CiZuLDXm2+tMZMzDihOgAhwRCg5HF+KoPJJ
1trkJbfLn15q5ddVFATrTKNGyscH76cVeqtgoKkyyXugv5UP569UsLAd3c3pJ8BhkFn+cCTzn+Of
YJAqG8eRVDqRbkdXURB26zLJ2zeEzcOmTrKS40/dDV9xtEqLVnKVFw9OGxygxrqSjSj3l5BRg590
P6N8bZuZhYNJ63fjILqtYvBH0a2Qqu996V67hX2TY6+6NlLTdhTcnGM45iSvKQtobfQN21xxlEbc
NrnUOJrnyavOM2/bKNv04eh+yTL0a3XoXdmyqm35GVeSXLbrgbiojav03pNey/qyJ61o2ekoSLF/
3Vq5aq71IAT8EyEB7dDhLSrZv8KLHK87M9vVQGzxPckLIUxvibFB+ip1UrSRbS9de3r/phMSuVAE
dWxXltYCqbLaqWutrW0SxvwLL9Z7sO7HyT09Dmg2tqGbgN150Y4fR5Y0VtzCXnQIr/XX+HGJoAw7
f8nS8GCyaqVd8FD7NujU3qKjned+45ggknY++JefMH2emwYXIWgqCIPM7KWOzc1Bz4hn3LOk5dCS
94SIyyOJB4O/6Ulf+5J/mJfkfuJS9757aOUX8GO2fESMlUcnZ+HJ1q/z0+7UC2awpQN+zBVjCTi+
zMGTe2Os4pIFpJK+QHerr72xeiqa+Of5gebr/vv95NOtkSmBmEebrakd0usSCU/p5HKMRawYpWZp
cW7B/ySzalHsr9dtFb+wObzEsDh1jextpz0syBZe7+NrlLWsVPI6L50qyKKfmEGuKVwoL2SoBX/s
CP+nR9RpGdHBLWsQglitPo0EG5GUWZmO3Ziad0Yz9bIQU3qT83/U7wI3//GPb6pQKYDCxgECRKj4
8ZVhU3MR3su4z+oAWZ1m7pUe4wKGxJWbK9d6pABaSy5c5InbyaD0V0CsqNPTPB4Ue0eI9gntZeJp
0coW4ZXe4TKfIBoXRjq1LCNP4cHB/1FU3pLjoQyide0iKkpHNfOf3hC9amY3OrbRLFubRojR9buu
qX9B30EekES/n7+7Jy8UOSc7KVNFRDibsqKwWrPEV+qUVCUTbIHCrzdV0V+4ylldY5o0QtURq7FL
xko210raDQm6rpsSLzKq7UYd0+egjPFv4o4XsfKUK6m9PH9hyvzL/T4khzxVUM4xhTGfN0pRjn0p
FY5a28ZX4YE7z6udH9isvkP8QEijv5I0kXMQ89S1pZbhi1Xl664W2cYQ3bjDXCYuQLVOP2xYhJSY
VPPz7lU0Um6lns/DduVNTfcTHuPwCnmm7FOwdGMvrXW5uSOInBpxbV1SjJ58DDbyXfW9wkRr4Gg3
Y7paSMoK5RijCx9quwMbPFypIr0ZVO8tpFS/Ov8QTj0DzuAWOw7WJKQKx+MNAhiAgpjfiUd7rxbZ
V0pDF57zqUsiGp2PF0ctCpSzb5gnwiZ2R9TkXunrG71usQhL5bDpFELoZO8AbPb8NX06gUwT68OI
5mypJdc47Usa/Y6X5e4acHB7m8NHQE/WvlZGjkimNHHwE1trrMyu2hps5RoRvbSVehOLfAtbg6BO
s3ptE/XaK0DblKbWb0Mz+Hn+l556t3WFdAZEndMhcLZxHipyXNO2KZxICp/NuL/utOIG7uj9fzfM
bFJFDSFXosEMLyrSP7FXTml40cqVkcecH+nE9lF8vKDZdMrIJg7wCBdOMI6/w6Rco0C4RQLxXBNH
fn6ok2/q+3eOsiiZae///MPGvzPlyYZeYdrVsglwfBU1WNPLSLmpLONatuKdFMVbOdAzBxH2w/nR
T703gK/Q5FLjImdndqFdHwSdnDPF0M6C6Aaz9FYlfX6h3n1plOmff7hEIsZ71WdnRspTu6RWsB68
S/X8EzsiC/+RQRUCJTP37HiI3nYLtyq03JmYKi0Z7XDPH5QqvCMD6lEuKHEZtndph3Ly2aFF5c4x
6iRuPh41Ffiqx9zMHXeEBCKlvbceh4eUbe2uN1n83ACmgKiUbYjdZecq+tP5xzdvJLx/7viec90E
5LHxnJ1zwn5we7VPeH658j0r4q+SH3lLwmqWipd86YvoRc+DXzUUlnUdKckiyZLV+Z9gn3j5OSvb
Og4BfoYQs1UKyYQuoMjmTmaU5CuX8c9gVB5aWGWLEvnpovUH1Com4d5dqe2TJOqcukVxHQBc7jmn
riimAIUZXN9RinTvgTMANNbGG1JKQfKKflVAltnF+rAsUxqtZTaSENeiNcXfSjJsdcDY+DxM+s20
Nw59b0cOMQwk7Shh5JgaUdqKRjZm3Um7uEjHb2hJOdN5gUukVgWQhycmpHGgBYPzG3djQFMsogWp
RY/Ym+OVyPS7vDR3cJT9vW8b3cogHHDpd8l16qFi1eUoXqgjSqzae+rbGCNspO37sr/yrEBz0BwV
KE8sQFkjKnXw+ViTqC3oC7Kl6WQG8QapzCN6FHUzSJ7YuaN26/dIXSoaaViFu/RFwQG2kDP3UCRl
51SjlGCYIwobGuhmkCWxFHnjLlQFp5cOemgflYBeKFT8SgzzLaiiGy0ddoEUUuitsNaBCTIOUwNs
l3n65vx8OPGZxClAUdpEicUHefauu2Gq2Yk85A5piOFy7EbM855/L1fBnWeHD/xbF9bqUwNy4KJ5
yGZjOiscv4OmZfbExBYI+xo6pXlsId8lMAFwGVyqNsAAmF64xE8lLT7M6MinAj/qWsLJZkNiXowH
BI0Zm0y0xwUBNmsKX+EjjqB60abBa1PwDwUumXVuG/dJkvwEFHDFT0uvPTXX8TH78U5BX7wykGnd
0tZK33RJ1TaNIpAqWjFatPOP5dRKQZeAZYJVSuFVnS2QgwUmDeY+KeI5IcBmvm96qd6PiX9raTnK
VcvEhwHBCIyL+gu//KNOSt6FteLEUkFFlR2CyRFkEnkcPyq9KzSzbsyMr01CLAyiDtyZS380rQtX
O02yWb0BLcu0HtpcMiXj44G0Ks8b0kQyR42S7wLEGAeOCzvsaWn/NMSkldHxDgjgrcdDUK0omrBs
Myfq1OeqK6ulnwL5yfwtdRmE9+x+hKfdm5VRXbi4U586glfYMxjvQM75RycirkHr5cwJq2AfWcZP
SE1PRpXcDX56B4wM8FPYXp+fPtOM/nS1WCvA84LYFubsyUVWaY0yCCwnigwYMu74WOBFNQOEdLrb
XRjs1K2lkUA9eOp2fKpuNEPsktNi505sCOgjTbTUG3wTmjjkZnaQdPNRKwSuSvmCAOHUjaV7ISwV
bxIbotmsMTrhZxLiX6dVFlR61zmAE2x+AUi1QlljgkMkE0Vfz9/Z9xPp7NZOiFMLYwvuLcLtjicS
DoAETqzPqKMd7XSpulIUjmt6ZbxpZMYtUJyKhdUnb4Go0dtCWo+igzLAk4HHy20xbRCaZpxsPKAN
S6/UDGtRmxqa3Wzq64W/63pOLVCq1lh8K3gmmrFUqvLRjIw3O6qhfIwazDjlixY1Bvhy+wb6tuRU
EnJlK/Nfc41UaqrGHrVG60CdpkU8GPmr0I78dVnhOzbRg28mkdMKFvXj+dujTu/Rp9tDKQ2+KHRS
wJLHt8eIdZHbvZs5fZVMgCaJTO3pAJZXMOTHzNgTkm1uclfeD9PuwJfU4jvmsQ2UmPFR9gkEBlyx
NjM8x4R/rUHh6dyMQl+Ggf4irDBZAbqyN5nwL1XKTnyYbItuHVFqk+hOnz3Y2gNjFZU5XwkBS6zn
9yyadIR0VfXelZXzVJvCsi68OycOjQp9FnpCZAFjSJJnZzHSzw3kCEbmlJ1eb5oe/JNKhvkq57tM
CSSXN8FIogOGF3dDpqayxBHIUhKmYLZd7YthGW8kOD43rYtGSx7vw1zoe7CjBWwzW7rwJT3xVZo2
CZMSn+YKGX+zVy6Hp1SYjZ46MuCGsg6fUNTXwEIQXhSy109/m5+JpUmJc7gqTZFsO7VTLnyXPi84
ChG5dDC5abSq5tv4Piym7MoudaQhgjUl38gyQJ9qWBMVskoH+6oL2MJaSGvPT+7P5wdAwDgyARBT
ouEbMq1IHw5GRtkHhkvarBM3eQBSyHZyfwQeVmN48d5K139klsK0bq6Rs5wf+9O3eDb07CuCjVrx
EznmE1kP28jtd7jqr7r8knf5wjDzkjiK7pjoloiXwG6v8ZRQXK0cIhguTKRPH/zpahQAzqyjrBNz
iLMnw2bSQm5k1+vlDnB4dohx66/P37PTzwuw9tQyV9kBzjZ+6mg1wlLCjD5FtFFr/dEX+o0I/LfW
tu8aDykTTa1DURZblRSTfzP4JN41TYV9pzbd6g+TJY9BFESdx+C5tJ8kTY0b/hiiugE291rUxc4L
4WNa5ROAhN2FsadV42gVnu7vh7FnFx5KUuADtM0cD2mSYcfrUkydWg59g4CS1D4Vevitt6SnHtop
PuALL8qnpXQaXlcguqFvQEkw+wh4UHaAmtqp01pv/qAukJEeuuJWjcMtvvkLg03X8ulaPww2q4mM
kidxgDZTJ0nx2lvqAinnqjNUqtb/z+b+H1scl4aapvWHR+ri0LE5GqZOBYssw9Tpsfop7YNKUf78
Ezw9EvZDPgtEqc753pre5IVQeEGa2kTqLwQ2JBA5HGXH4UYV2Ir+xXi0miksWar9LoD6eGUQcghT
nyCfg102MIMmfEYb5xu3TKCK91p8YYaevL4P481miImTslERNjmBl9+ZSnddlcWusMCKq/X231wa
7QUNVRgqlNlDCweqw3HoppP1Bs+opd/Y5HeXcdKxPbzUTP+0J51m/rtMFCkKmROzL0QlqUQg2dN1
DQgJhUjWQSluGrteV8W4C2P0CJL25fwFfv4q07mnHijeW+gI9WdvgF7Kkly708NrgmU2qNKqcv23
usBf5OU7SU+uCL6FuRMPGCLMx7gtLxyupqVs9goe/YDZLW7Q5Hdyz/teBMhuYrHV6VDEVvdw/kJP
fDWYMpzgKFnTPJiLYONCQJLtubmVovh79uYFrujm0tREcPX5cigSIvrDW6or7zKsjy9DVY8s2xF7
WKFK34OAuA89TARJk4JAw3QN39G/h6bcrQdt+H3IQ5q3lPxWkRpoFL/kx0gqflmQbBdQh1oEy2G5
qxvqa3GRP0bg2TfmWG4HtToUmXYd9uo9sncgM4Hod9iN2k0XwKn326JbNG0vL9njS4jq8y/Up6qr
IUP7XFPu3mCB0g8uDutJ8tIggaincKnGZZ7TLIegmmtR4FRtYv3KWtnbgq4yrrI2IANPumsbLTlE
jLTKBHp7u5P3SqNZeOu0A5TdetNWdnOH2Rq+vh1t21JRndTk6qNk/IHNSb8pXB1Hddmtenq+hQHx
yEzq1rF06YsWxvEVD+k7CZT9I5BYbZmRi75QtXzc9l4JvmXARC8IlluoRlzsulZqVhL0uKVahIcG
/FaWAwK1E6S9ZtwU91AHLadJTfdW1xPFQSWHllegsdANTk1CqVeebwSwXuSXvGqeSI8EJJaqt6YL
alXJgXqJQTU2ZZUL9Aaq+eIzLhQotboiqaKm4CcN10MkdyD4R/fed412SbBRuadZbi0L3rA92S9w
f6fiYQcP8Kc0asVeqEN+I5dsPadIYnIpyrUd1oSReWp4ZeFaXMqJvitl31jropZ3XepdYTKg95PE
sJV1BfCjpjxCz3zF1wlKu3skDbLbAxJLFm0O6Ku2ot9TPc5vSD3FGmlhrRP2SqN+vrD1sXY0LQ7X
HTbjDm3BWkcQxjcwImUaPcDWVojiVENl2+bW0sZlhGt4ABwbhsaKtrG2lUR6S+WdZweMxweWhH95
bDLjG4Z6uhq4QJoD4py+XEA52sRhPabLUM26dVL6+64Mqi8KIhecD9DgbDNRHTjuYmWOerbXm6rf
JtQSvWVYlOvQy75lVhVvPC2MsHd03b0F1o/TodbspAreqxjkr53kGXtP9aK70s01CRNjCLrNxiw8
6O7E/9axWerdd1A6oZNy46s1DstO27SpkItt2yvStdCLqKR8XBopLqCBNFtIsabnb4A9VPcY1lUH
yw80TCEiCEUGTC4Jopkx5vkhoVWxk2Ts7CDbnZAsJ/717NmU660CnvTVaERGqLfxwDk6eqa3KauL
FgXkrmhF/eprOV4XlRr2ArZa99PwfVVfxPhCi72tFp0FXEkKIUo0T8GgbE0KFgsVml7t9utc6paJ
Zteb2K/FvleNF9PvlQOOWHR3eWxCaTJHHIFquew8adOUPJOR1O61UlRNuVIaTmzI1XHkpqPdOrFS
SCwpUtddqZ73WgMsWLs139eEyHtthUt3RMuPvMzxrAF5IceeG8jPLmtG2cAlVoYKv2oyqht5zCh7
Wl45AoyskCh5XqE6ktl04TIve8iWZpjlt5KUttcm4RV7YAi9slFCWGuJkKrHgDTOnR5nOtjwRA9+
7zP3FlxrtRzbSqwzQHnLVnble6mlvUo4PSvZkIj0Cpjlru0qkKReRwx1+sNopH6KMQ28NezRsVxK
gUFN0o1dAXDP8CrsGWV3Y6TGQ6QBQ6s5QdtUYQ5R5JPmSELVCnjdUo7026gJ75Aq3neKvvFhHeRl
+KMccglCqQRfP76xPHlrBt1eH0lsxxSN68f0/WVTKl8lIGdL5p63aqyQSnIc7wdkNs5YZQfitu5B
GVKJCcp0DVEV0LkSfkOsDikrBS4Ka/irafDFKNj4QLXX7qzJRIWVVHF6v76jZvcjsZgXfTV0q7bz
CGHUuyWfnGc15m8TMPmLgZoluYPXsB6woAdf0kaHNfi1rUeUmGXztRLJVx+0OSuBxCFZzh86u36M
LO1aStJoEdUZtBFz3Uk6oqfioa31N91ED9SJbu2OA01pSIncGWWw7yWgeLL7bDclDEHyLPEzbiyr
uU6FtzcBOC4Uu1MIHW2M1VBQSBWlf+WmxtKtk5+AEPa6/ewDby1y+0uaBhtq3btM938RTOSESXXt
xf7BhxQHyu2nHKdfcGWsQNB2+zFSp2Ipu3go0XKoPZqKdODrv1Q4lJLS4VA8v9G8F6WvY15z/2ub
i2uQk+qSiUl6VJTeqdq4tQVrAZ799EFSeNOjMXnW2mHRDZYD2O2WXvFStLUxmbh+91tQo5HwiFNI
VnqgvEh6da8Tb7ZjnVk0lvWdd+p71GJ/N6N1TTjCm03Bz/OTg1yWluPZD8IVG0nprdcki67rRFyX
tRID0mM6dqW0HWJ9X7uGstX4G73mZneh58erQjf6lQm1OTLadcCGZJXadbjSB1EvdWt09KJ6iNL+
Jxkx7b6gd48bruo80Tu+aIPq2+D3bXBvJHpaZvduhvl4jUaS6M1gwiLJxq/z27BTx+pJ2K4huDan
2LtZzcoFgNNIA5WyENaxOXE/iDbNrBe1ux1U+RY17rOnd1vY3pfO1CcOlvTcKfcCCELwO1cuFGnf
SkyjzKkqYhZ9axvX0jIiZC7ubmxX3EFo3bkyHdWqYJ6Ln0pg7OES3Ndw+MfqVY6lVX1JEfB584tK
F3roVBSajhezLT/MWgm2QJM6ntsuO7UhTSxdSqhBz9/1z5tShYsWCNt11LocLo7PnkTXuDYka8Ii
CF9yA3UhSawS4wPhAAu5hbwJgf38iJ8vTEY9Q9wfZhWOlHOvii6T9VBP1ZPOEDtLaYkoba5heKzO
D3PiKDj1xfGR0YEEuj2bTX4YAL/IeKYEmOw923ASX0INWW7kQr1wRadmLmNN+ENlagOZsyqanoku
rE3GAt3KBoCQ0+FVTZ/1KgfhkRJ8APpxNVBaJiTqwtjTH/3pjPT30HMhZpaUbhrU3M0hHg5eQP8A
6g+f/nxHpOKUHVPRBzX3Lako/+b+/nXN83emknqJCG8/czTXfoIUvDFSmC9FegPPZ39+qFMzhhIC
DicCn5CCTq/vh/pID9Czz1PKTlLKUVNT7jmi4JBrbs8Pc2IVIOaSrE1UkTzHeQvGA6otRtr7TtM1
C2F/VWPgqo22Jc1vHUnmP9bHYxrDBzHZeKg6c/g8vipZNKYKw4X3YKj2Qm73SdZK29KK3sYyp4TI
7V24g/bFK/y9MC/pQE/cUwalc23h6+dXqMejR+BtWyCnPD6AuiDcB2JuTFzEZaPoF97Ez0uMjPdo
qtcROEffefZ2DHnVBn05Qbja0TjkRjJukkRtaT50wTYyEHGN1divrbEWF9pGJ072H0bG6Hp8kbmU
sjaYXKRZWbupe+haunN+0pxYZqYaEI/RZp3GmnU8hDeKIh4D3j9jAMcjthZmfo4ThtAuDHRidk7s
Bep2KFox+c0W6oREX9/tWGOsqPymFg/EVf3IJGtdVN7BrMSFt/vU9MCHTRUdlwg9ydnqOULKLyN2
1w4tM1LaxKYkaWrylJ+/eyce0HQ+VNGQ6xNBYvoZH97skmDsQfV55ZAkfC8naSL4oX8xBC0BivW4
s6hoHQ/Rg06Qc6zxTh8M1yJJioVaW0//3RjTJPlwGQCCUuHbLFBhYixpOy7q6FLT4cQDsVUU8BQb
+V/9vUH6YQhUL11OOSN1alvG7Rz8aHN968vDv/g68+dPfkAOqmiGZ7er7a2klwXjpOb43CbhW6tB
PEA1vj5/y05fz9/jzG6ZSfRZYeTU9pDqEG4etavOsp7Iyrpg4Ds5wz5cz/RafbhvEoQjNHhcDxa/
e6io91LiX2oVnBzDwF40+alsY24ZaAYQajbodY6voL6hEBXlpS3G6SHoTFJANFlsZrXY3BosWFpc
RlBL+xDmXNvq2/NP5MRKRqkRUQc2QoNrmS2WcjvBuG3KvdkIDsVtrif6RgF3ZbQvtfNPXg02ZZ1t
raZ86tMpJSQ3Hn/qEO4H5QQKRQh/4J9fDuoYTahMMnjF02/48OAVG7xTS+SGgw7pxpbAt7aw+HTy
IeTQulCoPnU90+YPS52JjeMdCfphLNHVsWFnMmPV8v1YPXigUc5fzanXBagvyz7+XTrUs4eTKWUm
PKPl4QzJ1XSqnOAMiRlc0L6cGgYJCjkgJqwnbd6IjxGQWJ7LR0Yzwclk5A2VnHqg0Jy/GvXErpXP
pcnunO4JNNfZWzlSC7fcmAlAEfqW8E8yPjaqYhLhV6zM3NhIIQo0m5Sd0tgZlHMUTwXo9RKJYJEK
BT5Zuox+T8CY2Ma40ItkMaq2E2WEoCXlPu30xzQb15IZbUuNfA/tpjWMCx/IE5/joyuYffcrv0IJ
ACvRiWuwd8VbrasOAZbXql6udbW88J08ORpZIRqGSp7P/Mzk2Y0cmDmTOSiDlTzeEpCwkPxi0We/
AvtSk/DUJGCn8ddgs6U56bHvWQGDyT61WgswWkMGsfh6fg6cviSNRiQbQ1SUsx1G6kd1ZfXcwN4A
wu5ay172HZjMiIiXmTAvHJNOX9Pfo822u21LzTnPGG2E+GeS0GFIz756Ybt5ehB0HCBO+HpOJIiP
S47bmkWc5MhY4MavpfRehmMZlcWFSzm1TrNj/2uU6cZ+WGzidpQrCMS05YDwyfZhfKei9GtF/y8v
ZzbFc8TR7aAxUKtlKyv5PVZfIJleWApOTgOUSpqFR2jKxT6+Gr51VkuIzLQPqByp+6WJwskkc0W5
aykV9oVD18l79/docy8N2oWgqTpG8/Rq3Xv2asQPOtDc95t/LD7VOOlMX1NkIvQV55NBFHKuyWJg
MhDggxVhk1jmhXt3cr59GGI2E6BHWnIr9cwEU11RVSYxmgyQfzXfMOyy+eTjhsb/+AnRzwlcuhsp
59RrEh1wbmTrXOZUfMkEefLh8IEDRMlfPgk+PX0wU2HyFa1pufUmUEWlXsKuXOjJha/p55GorSmc
fiddHqzw6cZ+eIVSNbenFFQ2ueCtNDK3q4oOSdHchhy8zy9zn790DIVdDKk4IBiWuuOhWjX3lQbL
m+NK5sYqhmfkD46v+DcSHO+EnPTqkIb1hUE/TwwGpcYG0gqhLlqZ40Gj0Y6BPY/sFqJxLZtf7Sy+
SaruwvT7/OoyisH3SFConOyWx6PYCplJZsLzIvJ2jaWEBmAC1u4rwclUFcSFZ3bymjg2UxHFEfxJ
uV5gKiNXkveplqIVzDonlugXkoZy/nmdGEahnMYLS+2QAs3souhCxpFPiAsbLWI0MumKK18UTXph
IZr+mOOyHfV2eme6gW0IFdn0Mz7MQHlE4RtEVuJ4FblwK9K76ycrFOEllfipy8FPZtomYnviIGZf
WS9t46C24Vgkmf6oG/lK6Yw7zC3/eAM8yes1vBCc49GnzNYIZQS2HZtagoI0KpeWgUYykIwL36MT
880g+YT/6mik2Qgd37MaAnbe12PikMu9NtTsKpHtq3YAwAyDJdXTt/Mz4dJws2viaN259G0Tp+gG
IqDLW0tVF1MXgESIVZlVL/9iOIgj8HsoViMSOb661M9ktRUtw+XgxizbIZ/Y8QkzjgMLHlx14eU9
sS4heWEFFDgjOB/PJsZA6mlXyknidGOy6BXv1RiLNfI+oIQ3wTAAaCfOybu08T+x8B6NOlsNG5GD
q89SoNNat8wDMgNacIdk+USJ+ONF/l/E2SXE2URM/c94qbvX9DV5/YiXgnHwF1/KhPNq8mZxMicn
BncT0+JPvpT2G/szOmTTyYBdzYdwDfs3qGN84nBd6n/YJv4CTPHnYfTnQIkxcKpesp6+83r/xhMC
2f2PQkl1mpUfl0102eDNpr9QBQNzNps/qWHagMJ7fV3Uvr8BNKI8qubQbUfKsCuV2K0biJn1rqWq
qC3dVLUfbESO14Ych1eaJEcrcu/Q/Ndyy2dRN3AIegUcgp7wK7sJZEf4/DkeQjx6sX26+3Cj7/74
mR/Jlp+Sb/j11nu6DloNLPXa7LOsxOQw266trWNJWHeJ7wZEwiUqlkBvCFZ1arxkIX6GYQgl3IdR
6u+HcCwWWk5VECg53enQ8tNNKwfE5nATeh1NRVEn0b5Kc3T6ovle+dmDoYrimwljaFEHqf3djU15
pYRa2K3UnlArgvJ6p9D89uCT3rlyx7peJTaH7Jo16EZukwC0klTRDpAgfTeWuoGBHx7KJOkvVJw+
KQzp9vLZgGKGeY6umTxb0dOY+ACrqZR10/GXMbTtL4TzDqvMCvpNniMNMsE2mA04VL9tnyUcoPtB
yX8//1ymUY4nFafPKZGIbKSpFD17LAbLYNaQxLa2yqR/ivOgotnaFN7BteE8ThG03wp5VPtFU7Zv
54dW1PdP48fReRC2RidmIoCi5p7XjnzFJaHaDeq164coGaIQKQWFpmSnZhaOhzwX+UsGfFQsWq83
d2UeGAksVym5dZFQ/eitIPjqoQFZTC7uXVoZ/d3oGm5MTbXRDxx6h2+W8LWdmre/4qZXbkJEMgc1
IpDe6hR1IFAwhXnU+pa9rZukbzdSMGR3fWG8pIpyI5uxslXVTD/kVkagepd8Ge3kVUtTbw0Hlojm
qlK/lmZifh8ym6TILIuvodv2u9gtTVIq1OKujlVzyafUfmgHPb/pdLWykN40CSmoia6BEY/LrW+F
6lM2dWtWraStxyIttwTY5C9+LStO6Ip0GfcUIghHRRUWVEP1zU+y7kuAl3Ud6SiY1u6QkW1ShECG
qcZJ2C4Jo47JBi+zq6CKq9teQsm0cLM2OyADGmH6Vu34KkWN9DpZJp+qTjNejb5oiIPE15QtSJtD
elUr+Usf2+FqJH3vHp1VvEG3Nu7kWgoI1rCGe6V1MxLvaZ1LlWqyrIShsvKR8L/6aqN0C0lrYS4t
LGM01nlaZ9qqKtLiBrlUjXinSF04qEDPjFzKVpyxSL7lJBIHS1eSVOEMbs29EF31lNTgfhedJ+cv
pBXkkFOSLKDAJdk3SqBA2Gp6F8dvkH63tMI/oBTjXJN5xId6bGOtFldzK8w6XJcgZ0NIOmnyUqPR
5gBcYjb10RBt49E316nlNehQiY4ZQEtt1aCIfshe29wNAwi8IbIpuSmdfxMnfbgfdDVwzDBAT5WO
4dJCV7OsZAjB4aCFRMIr174LvW0hZRjGiLwV2UKrLGlPYJDxs69pEC48IXskFg0Z3nmrhsvjBMZg
6UuhlgVGcbfQdkNpZcDsBSG/S06QCHByLfbCBelCxVa2CZwPI5+M2rBlOyFcbWclReDoVtDcyIMI
9iR+Iewoq/FBllS/XAaknqJe7uJhP5qDd2+KXFqO9CSuIq1yWY2CR6zjyhVtCg4deSk/l9T7iA/L
jfX/Ze9MlttWsnX9KhU1xw70TcStCQiQVEerl+wJQpZk9H0CSOTT34+qHXUs2de6NT/hkS1TAIFs
Vv7rbwhOSLbjoBt1rOfNhMy77KMeD+z7sgjmrURH+y2f3H6vSEzp8akqs40s1/ohR/u1teljX+Dj
QfqkqZFboteBebpg5r/JlRcbqz9FSroak8zIrwkd6E7t1gvu15nIkiFx5PWgVVYTqtbvLwZkktt2
rjbdvHo8EWEcRJP2G4UH0EXiroRxj8tpWxreATkVKFvqG5EbCBi8eT2JEGWa7+Kq7minYl3w63CL
4YZp8nXyBity/a7CYqOYd2IwvZNAlMGp7ufaXjkijxTC/tu8FCj40yR4lEYhr2Vmqueu4mXO6eJv
cSirrkvW+ItJ70TUVKV/WOvKvfC8ZD6mi3rfTUIenoNG49UldfHYOaW5e3uny1i6cSVH+0BkZZuG
nVjbM6MLMrn3RInhej1g6LDms7ggJIPNPYfjcov1mrxeyUrco9cNNvCs+zO/S9cvGj25wBpJ1alN
ed1KKyfWrWi384K/vOklQHamr8XVQkKMRKl51nuGfVrWxdPiyoCY2KTQMCEU1r5ynSu3Ho2D3Q1B
bOZucZnLtL5s0jIZQ4h3+owTgAYVslXWBVG+BVFeRov4oSDQF4aIQe43FuXWhZs7M3z+arlrtJ4g
bKVucmLpD17B+OUSw95IZkjGBQbD0TAMlrXprJZXjFQ8O52R5w1c/8icTdwl+Vp5fLYZ/e6rOQ3F
GZmq7ssim2Yj+qU9s7wu39XE+sY11tOwmoeS08zCg3hsdZt7NOTcHJx22g8igRFWjScd+bxf5sAf
tk3n9Ke2x/Kdl5V/pRXNhCZu6q8hsKlvahjzB3e116smyG6apdVeXeXZrD05wWM4IB+sVa83VYFd
TrGq6dIjwsfAfNmY1osORjRk1JG8MNkUnfelK8ie3qu58a9tr+iQp5cmlBqfD7ObenezN5OsJvVg
IZtmSme5J/I7vcorWwZbTwRTxBNeyFcHVzQi6o9CRsjbiTLvEczuJjf1thmiWoonqmHoe/2sTtC+
okvpmuaqK2lObXzE+5uhGO4qqS+bbBjcLy0hZK+FocmHKkPmSlrUvGxnQyYPtPxB4zONSNplnNvH
wqeNBwVQc9uYYPZ1OwZDSZhyJoIz4ekvkKG9eJrFVpQ0MKy5J+anTJwLon6Kh0Bvql2eeIUbVuBX
G3aZ5bJPg/kbitzyqSTu+LbtZLqtG8spNwSHm2JrSnMk6WnQFPzCuekjuxQ+rveOqvdOqlhv9IoY
A6u6opxsf6jGKrGN9xpMB4NpuXOltV522uyHTkoKVINdZw3Fu7NOjazot2nbTGez6z4WJUZsNYk8
8NftpyUwBb0VS94lJKmrLTzp7JC0tvWq6/n3zpu9L6lwhhetqzoznGBF38mFNYViFnZwZ0iqmrLz
vTulTOq81tEPXVeUJ0ExmZFcBWFTuglTm0DZM7bU6uuk9GAzzwPJDs0I15EYgaFNb/RyPpt9ssYt
qRmbAEYEEXNXyJmaMJgBkTXJZJ1T3TpB5eJbsYuvf7szSC07t47B6pojm+tVr8ydbiwiymAqfMOV
sc7vvVF9XfHL1Lds0iTyTcOxuLBnXtDYMjuzLDhdpXmaOqm9r2G5DMzmcd6hvb3EYr9JQs+B3R5m
Zs8uZ40WS7BtDWztXoN9Dc/El5fLQg50+FYFBVOa7QjCdU7aeSyJD87rfm/I/NTnHi8oV8ZLFlKs
u4R3XzvHOmaogjMa07D1ihnicZpv2boLUq7VmT7VaSTwXLstAhPrSjzzvIkGKHEAxnbOqv20EA6/
5lC64d/BRTW9hyap4yWDPD1pnsGGbP5IGFN7xyHLuNNrJ/Y7L661yd12WZ1jx96Qu9Uuj/hiaftq
xCpPLh0XdMrsnidUfq/7rAnLRve2pe+lhz7oLwc6kCeQUuH81Ob4RQAonUwAO9HQZ/IBdVN+OpL1
fdoPyXqv6+RctR5TBbpSvJD/EBoIE0hzwxsvla238aRfnkAB3GHFMG+scQGfbvd5J9fITotbJnO1
KVN1oLOEXEHvynhcrUvhLjoz37CvfPw1g8jBS+GEDPFpK/Ks+VIu3Xppqm6stwN0rMNqsII6ejNd
DUeKmCKr96DW4gt7G/F7PBkqWCzcd/VAObq4AaaxnovAmoXuypFTGRHD7Zzj1dBfk98enPtG/ZzM
5DJVOJQOkYui9Fwef6Cjf043tp7DP24xSco0nPKzfPTjUZbDntWfuIa5l6fZIp0YFv50x+85I9p7
Pp1RFBRbkRjiKa2fVi8n7UuUS9Qyak+ncqUiszDYweLbpk5OinNzAgBfxo53mCZ9nCf1QTqNcdDo
PoUFNYYG8L9PxkRus5GAD6LZbD6+PFtQRGJiDNcDwWkqIgBsOcF13LrTkrY/r8gvv54J0TuxRKlf
plPS72ZT55DTTqXmRmTAyjrynUCyfBrruadMcK/BXu/cpRNhEbQF2iiXU3Bf2+PGm82WxKq2cS6s
tCEIIqs9uwpbjVGvFpISgD/7M5HP+RASZWRhOZTbTJ5JGcW6MRq93AbZnMWpNaaIROBYRIVmqVe3
cLslglmF+EZBs6VO74V7iQeRxdDxh/ZbQerSzayV3YkghK3dpsnikwhpW/PV2FVUdoWulkMvkuUw
t6bc9uT1Eb65JixT7aAwXK8K7bzCcovtXrkUAK2hpTzsR2QoJBKiAwgT5IXn6Hnk9dgVzpOc6x9a
0Tv21rQQ1YxSJxE0x/GgCv2lGznE42K4W+ignLcQAU5TZRVbgzjcaxRyNLt7I/iaIXR4wKxM0LZd
8h2Z2EFsZA3lS5XzUNWwsvAK/Gyj2aQSRAXLIWzs0i+62whKbJXvx9Zs4kA4uFtXWk/iZrBpZidA
lK7L0KX5Tdahf5RYuNerUGtcr323RVHmJ5uRFLB4yS1vP2epiHE/7J5Xhlekpx5mtj6NEOI8hA50
sRJn1ZMedenU6Cw4I3Tnb9iDsAcjhlW/HhN3Wv0JExc3cgffOE0K0W3SlSzITu+OKQyCHDVFxiMS
eRRBlReNi0NRhx14pBeknOplOmwrk5fTLu5pH6yHo5DkXnXaC7Z56f28WPn3WehEESPdfp60ergG
k2+xGxHN9VJN6enoIIpftZm1HcfXKOtITSMpnZyXpQmMm8BOERB0ighz7XhLo4sWaiayQ+CRGjoW
ZNUpmJPNoM39OUri3WJR0wlBtEPflX3cEI9zqhctgS1OkJwayqp2qSbA6puEOHufZCLqTNJg0mY5
Q4cnQ9kNnF+0MbjAbFfRp1ADkTIGv9ARARllVAwIvZo2EeyvfSpuzVUR5+q2xrKEZZ31cblUuwEj
kotAr/wQt5BTAxbLTlkD5W1qTTxFstJOFjmRb2ZhUtHm1vxgm+VCeL1GFzgZK8ZvMzgxmZzNmVYH
7HeDGc3ZrXLs7FTTjVYPZUbBmFQ+AE7HfgoFZ6C6aywOAsVtuuQJbmh6GjVAEkeHsJt0zF2CitIh
yn2iATd2a08niWXM28aqyYZGDYTWhSUpqNqaaENddRseGuQ+/IQ2AbV7XBRLmeih7yVIbLqJPaoY
De98KMVhggQQsu3gdGrNz6ksUHXMydfAHOVhxSoR1aDtXqZ20mxARuywdclyn5PkPPDA51wxLluV
FEFsae2JgqQbknD0SKzgyehmr41RV1gzHw9xC9ImUSg3lsod0dPNpMqIDgIqGqQl6dXt3PBhKyvU
BrmHfpIaeVyg9Qk5q2zGGS5cu6Q9MAhOLjq4Q9xlnrZtdbUNuhUjLeSlIfx25JGyXM79Ykk3pt0i
jvGTIiJP6HYdrCbSvbKMcQXzLpDrORsn786tpszjMmcoOJmxxv6qD2Gdyws6kGQWpdV1UvrkA+Uw
gmUnqHflznT1O17Ck0iLex7U/eqU+8Uedqt0z5ap7i96dmQ7nocU6k6e+GMCwGgFlChqDTCS8QgQ
RLspLxEUjqcGPqOWUgQxslIuIQoVlJi5Va2XvhrklZ33sgs7hKTXtlP2YZ8WJpqpYn7NAxcHeKN5
UK5ntCRd0c0cU8CTACJ6vNoiRbyQTDvyPe1n5lMQYmVSbpFemmcutvki7ACLkBogN0UFA8xJimjl
4jZizEicDOvWV6a9Weq6OzhgoGHdDw95beaRF6zl9egb6qwZ+irueJv7vDWNTR5YnMyCeaQSoptR
GSnn+dwKvpmjuqvGlKMkp3Z20QKgZS1eACfKTR/kd6bUJrDrbN54lXjBvmHLaseQszlc2+NkXjom
znh5EegXmWf7V5Y/+Yc8M9rI6KZij6N7fUgRvxGR6B9m0j+zsFkmdK0Yht0n69qyfZfOQWTCvKi6
tDroPawh0RN4tliPfmogwcMjD280E/9dOdRMrsXdu2QzPnqGlHtjGjcIBvjllAbgsEJ+Dxatu24L
6aPi4uiSKEOdGknT7qVrgZY50sMLferHPczV+qD1BTKyrAq+e/hEm+DQbaCHPADQtEquBEumfaOx
U2S6m98JQB4XGEcm5rOjPDaoynDxJeeADHNLtymI0zSNOn3KnjwwkbOeOXHl8Q7O0qVvzhrdWv3I
V974GrhrxuWywtwlqxD7pljTL57XId9jT34h0Fe76Qar/JHg638uCeP5OtZWeS3oCBiECYBoeSih
onVxjB3ZrVM8l6MZHRNsY2IjGTxt6kTW0PtMRXN4TM1xvTWafNjhNzjfjShUr3i7Qt+IKc/2SULh
kxZ6ce4NaRUjhO7OmrZIqpjzjgwpfdyzxMtTzufC3kyOJJ3TyloVmVz6QjQy3yZqmE6KXlbgjiRi
q9H2t+vgFtumn8UhKNE2pvOaXU6JVt/Uwzzsh9yhqvHLtFzjvkD0SpTrERPJjUYm2z4waLuVxuA8
pSoHqBAlqNJcS17TRMlQnJmC5cX0vep7MLBPKW8hsUg6TnDbu5mz6a2626iqtu+b1UofNEobr12D
2C97KOKAc1rk931LGKhkm6iVFmw6jKju8xH2lfBkesMafw2it9Hxj0LiB3MpuylBHynUnG0P/0eS
aEp/xj/BOh3TK38IPQPiiWEwTKag+iZqwIeRWMu487QfVpnCg8o6EO7aQvEy2TGw9j7zWnCcvGki
zU8BfX3mXF+K+9zvT5i60/MwAdYM1TJGbeYec6Hb6649+hkkxB33GRIvMte70Fsd53wwNOQLXtDG
SuLBU82lOMlAsSOHTfYVd3J7I5za3NrKcV5XSVSyg7tFNFHouaSdboolmM+IaO3OoWu4J+D12kZL
TSca1NyOoT3jxZTBvyX1apKnVu9YLY8OpA8IdryZ6BaHwFfzRZeyUJiklt9igxvE+mTBkpnxDaPK
TTkYjX6VUJ3pWjiJ3mUwSf+qB9Y6fztw4wy33KVZY5xbVjpHxMCKUMfwZ+8XFYK2efHP8tE9xSmh
IuQOH0pfgFn1tALx6jGnGwMF426213kLWF1pJKu3xc6aq2BvL5OMTUt0X4uh9Z4aIugfB0OM9+Bq
RAljnJQWUWFm7Vk9S0Ki6RKcNVjvnkjtGCRHxXPeK7cjDrhEgL2ml6vfFARPr9n9nxsuv5g20sD0
4JBwpPRgx1gfidSLhk48080eulxh453Ws98ZiEhLMOmq+9IkRnfjcFd39Fxe2Z4oWsxa99B2WpXz
5B7L6SX13Z3Xc9Sv9OrOWIr2dGwxuCzzBkoPp5pP7vkXa/HjPR+9zDHIIgXO/Jh4Y4MwJYtVDnHf
FvbdmkvS0aSVcQjokJrbc7EdjysOsZQvmcVEwi7EPUMGa1/g/j3CjdXXiuJo+KSf+bFvdrwtH0gV
MgLHQePNg+wnDoulN32qvBT+BZD3qDtIRZurhAMmyYQ4rtlJmYQ9WuVPmAtvTd73HbNj6g8tZaSa
BmmlH7qGnqMY0SLvY9Ua1WnQ4lmwuuRfRknm3XaF9UQj8W4tkU36QzFzRKBQd2gYhKL3m8tKdVVc
ctACeigvara0w4Kr8onXr1akNLptyNPbswkDfJpUg0EzQRoS3kz2Y0BHGYJoe1RqKLc4z5jPydAf
oMfVoUGEYpMtwa5W8KaddNLOA9XUz9pKk9Wr0B27QV2yL6iWY7fr3gLHZCf6rOavQ2moaEhqggeL
0Yrof1dUM/VXn05tGs6F4T4r5k7I1GvPbJWur3+eFL/0YXHneZOVYMkEnQls8j33JFjbdpJLD26i
OWu0DOsOd7TgABJf7qrWBQ3qXS+7JT0sZ7kpX3K6umRFOksZ/vlOPtKi8M3HUQu3Tph5Bg4qH25k
5iddPultLFbLvXKT1KdXYS2Xf77KR2YPhnjYwwPiUSrh0mNZ779um2E0gtBF4EFiGaE2OG2oL9UP
zfPvyUBUJ7R9P/OI/sjD4pK+Q3QXMZMOIqSPnqdzlyWsyJ6IfboNxKT7jxSYlJWfxmV8nJRvF0K4
A0fcYZL4R97PT5Oy6ea0cZQrYht/fYpw7A53SetwPOxNO5LeQETM4JsILgrnE6nNLzLY47VhJsNs
OMZpwn99f2222DHFclXEZYKsse76LvbdBuhrTL240ofbrkkQF1djNBrqvkmKz4y0fvfljw+aZf3o
UfrxKY/4JjPtCYVtneRRT9on2QNZWxVQA3HyizAIe/+Ml/hxyPKlkUvAlCHmALvQjxyGHC8MUEGg
rW4ZnZOcdjTG23539+ch++v48Y0ACo3B7MRe5SNjdZL2OBIsNMRemWfRGtgNNBExhk3J5PzzpX7z
GrmWa8PnQRaOPucDEw3IaCn70Rl4jTbroHfXG86rluHjnOs6BWHBRsSOsldGFZlifPjk8r/OToh0
MNIgISFL/WUxGm2Fmsfi8sIyX4ayPdfl8A1g85uVTrTDaAF3FHy5JNss825o839bCiyfwUE6/tXZ
0SkBvfbLfFN6X/98b795C+9u7cMAF7T25iTl1jyHfIkmuAxs8Z1Xs//zZX5Zj1FdIiHQTbZ8lica
VO8nkqvVPuCEwt7GljceVol+a91X1oBfzjTFo1ZsMz278BcLC5oypTaRpJr++R5+HdbcAoycY64k
XEvvAz8wL+AwsCkwCHz2Bfp+QbR0Vv/JNz1Sa37eyt++aACZCxLikdf7gXqjtwV+afrMVQrvLl29
W1GJ+waO0yDH+M9f6HfDignkk+QH4Yga8P0zLewKYy9nGmJLdcNepd5j3q5EU0+ZvZsdvDpw1Vo/
eYi/+3qkI7E4QLRE+vzhPQYD9YssRhRB3XSbBgHuQNmAVAg9fma9/Pn7/W7aImUD/vAcrmR/1Db0
mqvMZB2GuFpxeK+1nioExgRgKfVI1hXLrgMiP8a8PLZY3+h9Z37yNn87bt90cOj6YLwTavpu85mW
RNOxoBzwhbQvAjhdZ3lPdSoSRTdveiVf3cLWuMgjicQMtuB1Pg/aJ8/8tzeBLQHr/7G8/8W2rkSH
25tZM8SObB8xhrheDfMCKcFtZ3T3EOou2btU2Ds/bISglmwhS/6HTvkblp/x6yYEOxl0xCOGE9b/
R9E5mtl6Skcsu+ZxXmPiIM+DUscyOymyWDjNdkR6Mpd5uXV7QF0ZCDzFMmJaI40ccSEsEgFWY1PS
+SYmUSv38KZ0+MagEn++0V8HJzJC3YIN6HCThvVhcOp+42UKxjgbl32Xg02cFoG/8/x1CdWMbdSf
r/br0slWglaFYEWCDY2PysJxMd1JFJURB844v5RlfsMZ18Ji/jNS4RsN/P2awiTnYkQoIsWFcfd+
EBYFnv+ytHUsrMwTAtoflVXam7UZL2kXD3i54WySDnhD93VzKlOT1l+gL/sOLsmkl8DmHkhskRED
3ZTeN0EYyl4sNvSTpjb3wqGYoOt7NcxHhSRyydAxJVQksUazNdkQFORzKppPHDA+vivUCMjk+S5M
bUbVx9V4mZrM7bJexRO01dhxav9Kpq0T+spOUP40n63LH1f/f1+PU9bxjIfT7fHnP1WRWQ3lh/aK
igfomGdtweFuTBP3kxH4cUk+XgUjxKPlMqOQmvX9VSrMkOpcr1VsJqqKVJd9VzL/JuzufKx1mk90
hP88CD9OTS4INm66HkUNzPeP/vWyWzKImOBiZurRgutLAkim/skcjGeDLmxYzzntgtZuPrnuWwDL
z2PyeGFqYpIIuD5WOx++qVP4ohC+L2OiR2iFsAuZrXWbQL0Ly2W0Ts25iwunuPPVj8z1bxo9/+L6
eJVRAam2fjQNswjngCPgn5/Hx0nJbXFQYI1CTYjk+2PUqWxSMTbMhTjowbISmdonXZJi24iz4cmf
L/UbEEMn9eHtAITDt/WR51quwKKVlkvWQLLRBtWkm9TqItszyWDklBAr1GeRq4wnZ0m2K/zODVRf
7dgCAgSlSVUt+fc/39NvhgNWX97xdtCc4fnyfvxNvU3IfAIAWYx4qBHBV2+snkw23HCfaL4+FlOa
b9K8yrZ/vu4vWzV+7DpHbf6wBB8PDe8vDFOe9VySRrqO5Y/KVaBs2ByWdRTIJo9Nv1DnSzO1Zy40
PzJyy8GjEd6Llz/fxpsd9vtRSaFwdCwCVWLB/PhKpqq3ZnCKObarxXpxuuRrOedfFt2cyAsTr+Uy
ubfQapw0HI0gvR6Kbt1XlYpqM8iuNH84KSuPhgAZpns5eITOeGnahI3WDme9LQd4jqq98rQh+9LB
LzkpbWWcBI1a4hZPtq9O3Tv71lL6N9Ep8Hq7DXZTNk1wbJp+22MbuKH5HdZrV0dQaupDu+AE2zew
P9e+3rhLY55Iu/jeaB4ZjfTkn0ZhyGtiXblJrOvIVWm3jWne94sFkFrBwvHxB96bdK8PfesQcj5X
7ZcaLfouC2oPOrNRRBSjVRKlyyIvqrK3D6iOIIG7NDnP5GKUd6XXFs6u84SlPpmMvxkVvAnKJ848
CC1+WSS0tV8LZwqWOG2sW/hEdzzU763XfZtGMPycLp+jxn3v0V1etedPxgIj7v1QYFdGfou3JOsj
NvTvR6TqC98uKwJnl3pyXnwCWu9M+jv7Wun3zhB8prIzf115uB5WuIaBAc/RCOz99epcNX7mVjMI
fprcTwb0sDr3nKgm0PkZASGRtNArNEILNHkNtXF5qEBub7Nq8M5SkP0fczEzEAupnYkaAmmoVbk1
bXAZoruRHFezEl/rax2X5k3QwHkSHr9Id0Z990agpM+W7/78CH9dTWwm7jG84wgIoKt6/5UqZ8Xk
GjZKbA8pRMVuyC/Jj/NJ6ZWMHTcjyxkVeixgxP7tDvK/WqfbtXv91z+f26kRw3r9muZt87N06bhi
/ac2j57E0z9eG5GL9fBU87G4+sfNUzU/vbTDxw+9shb865+a7/11hFQoQxCW4j/kUHf9LXcK9L9o
f5LtBL54FO56jOCmHUT2r38a9l9vSR4BH2IBR5L6H7mTYf2FjsPCX/0thwAE7IO66U9qJ6LbPsxK
SgYgWdoqVOiO/4sY1bOVXFHSOttiTm4nlDQ3pdRa6hVXUYmWSbXVE0fEU9DVCbBeAu9+ZsGmXVUP
lyJtq42b+4w2Yet0VUdTo58HtXP92hrjeua6XZ1FOG7KLyl0iWyjk1JEHpWQUUOz8M5wqvxb4lrN
9ehaisZY1hpXGDKTuBIY5VnX1tmeFR/DYUpgFxUVwSseMzCqW8/7PggEE6aTqyNPeHaLGKbiEAOU
FS0Sct16yHINppbjlOtjU4zdGpWZS8c7GQmi6VWtXRXDKq5qo3ZeurzpWdBVBsQzjT1ZphMMLzou
s0n/ZrLHFMNaVbV7qzIdXL74Hl5UObkX7AvAe8Huabq0x4j4+Ep/Sp1L0yjZYkz7Wy44S0CxrQjL
q2y7xUd3dYKHbkntp7J21tOkqvWo8pvlmzmtSRB2I8cDaGlRATIYrpCtX7QGzQREn5WmddkdraN5
ATWxIan4UpkWwpRBWheG1LMiJrZHP126edcs4rQpAzdSrv9DTx1xm5q1VYRiDKxoVgqiRy9NYr0p
4eoLtGPFoelqDq9V8UJMjcTVmTawwgGincWG3RIurKNV+l1KPmYSed3UQpsa4Y2bVI57msndo76K
R1n2kKXsBrZmXUJDgnDLNZchSgrza20LC8poilF44WiHxNGGOZznOf2RcOIm2HMtyGk37ugfH0Zd
6BdDMlmRGAL7G6TcbxjiQmlxYB+FMErGM0/rMxoY1bDxerjaYIn5zsq7U2JKm+2CxfgFdkYXqzsd
0mMujlfWtrsB+xp5KJi3UDyRZV1r1XqV9Lp7UbLVh0e38lt05+WzI4hydNalzndOh0ktA8j3H5Qy
rCgzjmTybr1VWZtuCR/p9sIChgjrxifezzIxRh/FKON0EIBoReZg4l0VNzNZVjvpO5u05p8DX1Rx
bTU/3AXmjibNOU5HTXt1jBFq0zg9DQ3cDn0Sj4u5XlUtkUp6CbG+MebpPEO81RZagbXN9M2VNUQ/
vnXUGNZ3OrP1xs5c+lImYTreCBe8rxYPKqCv7YtqWk+IgYaPn3XjtgnGIVqwNZciuBqTkv9fGM1t
2Qevo8Fg91tIFVM7XHaOKKO2M/qwHRmnGkRDzm9eq66VmGgb15pnzyFepRokFkPulzLNv8HL0B8H
21Tb1FwWc2OviF1K1yw525pXLTy4TecX2H8IOEomTHjYurLeVrV7v5JxvhHoKL5zvnCdcDZG63Gg
G80ASoYpx1ej7DZ9A48FRMMNNrVpXA4TBLqq1GzGKv221WnJl9JIrhVW1WyMHn/0wV3njfI1SNWD
nx1B6CosOo7WGK8H114CI83rWyMeVht5hzbASbTTcdsm0GUx6HURYWXNGNyb0jPONb9bWYB0NccS
HhrNNUqbWxg0+I2qPvfTg74QKmCviK01K7fGCOHztd2pBk2+l4hLOK64bPf9+ICrcnIj13WxL0mx
wWrZAHrPtPw7dS0OrfpangaUjZdVVbg3OPM5NLAXW14C2LtFlBpYc6txbG/SLkhuxeypPRT9YOcP
YoxAe8gp1LsxKlg1tmglIbutUrteZpQuYSnxTOQYgyJgVTimNmsTEBRWyC/zIo3zVlbduukr+sL8
uCFtGZvnsHOhdMMhSE5plMjLtShI+6A9P7/CMWCGkdHylDc2ewanjuTHFPhdeUnHrX9ABtkxg93O
vWl6bzTOK08Q2frTXvw7nOzXzc1ih9WxmDNJ5/sFkDUx3F2dfHZgogeHLu2ssHenGL7yaZ3TLE2b
Cdo48BcvCS41xLGunAj0Itim7R9KajrUSWr8pDX4Zgv2cyHsHL0f8Dpx6CwTJfSx124VtEUyjKC3
k5ZZG6klD0613Cu4o2GXo0KbDXVrKLyjp+bZYjCGfdWOpARot/DqDnRuBPrCYtq0x1CQoA0i26nr
UMdy0ALq3qhx+oHrpgoxgj89Dp5PHupHoOh4+zROPRqwZCsikn5fhLqDB403sbn9CauMAOtQ3EUv
UjzmfTrk4TEj0A3ay6ofIa2j2isq3T5xCgkQ2sekRu/SOan3WCR/4sb2Eep5uy/MW49mjy4twg9H
bVtzA8jE8Hu8qhMb3Fzvqwy2jnBgs6dYvVhi3r89iv+tiT+pidGW/zRmfimKN9Pw9PzU/lwQv33i
74rY9f/C75MW6puB1THY8j8VsRv8dUy4xK/LxLb/aMf7PxWx+RfvFSCaXgcGAe4RacAt/q1YNv7i
1xFfA0sIhTX5Zv9NSWzzXd6dU6EncJQ/whZQAegPfjhkrblua5lyzYgEcu1F9XN2wJxfdGekWuh7
6kGX4BGvgbRIJYHz51flm8XZPEov2FiqpwJIUfivfmsEcT7O1lWuuXKD9GtYQpv9meSPjlTE1JiB
L8jcQcZYtB46n2Cs9o2xAbFGfn+imjlBBeq3Gw8VTAxFI3AhPOZnQDWQx7RcffXtHusvhy6IF+uj
ijw/s/Z2SzlLnQmZKFyQbBxjB9eBZAL4s1spkum/xI15WRZNEB6Gh93Rm9PDzzjupLIi0UVjRtpU
nbYUsZtldu91tDHIX5fu35P8v5pyF/kz3iftD/F/jh97brt1yNNMvB2D/udvX+bXQUzD6z8unrrx
H9upeXmCA9p8/My7X8HR6e87OQ7qd38hX4hT39X0ejwkjlP178vhMXH8n/+/P/z77PjJ9Dr2tP7f
R84N7hovNIz+fQw9efnXP4///++55ZjMLfAdYPW3Y+Oxc/H3aZON5j+TyecMSfPs6MvMSIfkxBT8
ezLZxl/Q1uhZHacYP3D+q7l0nCv/s9VhKo9zE7QyZqbPJgxy8X6v8Dula623pDc0bThvfB+zrIG3
NY/N3Is7iGwIJSm15FJq5J+C0TTHXIGgh/9YpChRtjNrwdHs1pyLYoSviMWUfWKnWurpO+GiS3mq
yA7C3UXlTNH2SzADjZh7S++MYDwh58UpahQ9kM7hiEP8peJ0CdfLb/TVsLmMw3nj/1J2Zs1x40oW
/kWM4L681qrVtiRbvbwwLHc3wRVcAZK/fj4UqyPa8owdc190rbaruACJzJMnz2nXF+hV/oBl2ARO
/wEmZWwy9iBy+FOmxEyj/3pZYMZJB5u6cHqvOpDoJn3/Ei+W65Z7M9SPE6rTDIW97Hqyap9CIMXw
sYiOxRqvjr+zcvw30l+cfBcQ/T+PGYFt2ig0en1oKSF5zrsjuWaDtI0fZ7855DQ4GrTroHC8YLAx
jpCxhEQHaGrRO+3eMCJZZ3+fC5za51MJlyZ/VXmoIdbqAOLqeBhrULn6MI0u5OtjxsspllsGfTJ8
mXpvxaxhF49TnGD6EKceDzusy4E34IduF1UM/NfaY34GCI0xniqbui7DfFwzOIG3E00a29jDuiI5
U1J7zOknXZ26SJNjxlTKIz1PO3ryNKodEXWyo6K/EBJw5Bef58jVNbR/+cCwl1DjbmaRqbqCmzdW
/HWaVtno3lhDmUYvlldGw3CIuhRxh/vVW5spokNqSTIXyClBWz9mTVu0f/W250yMXYz4OEeHwp/S
KNp3aaz4/K7LLaUeYiSeeQjlyNCyevALWfBtzE813HbXOjaX0Hfd7Fvnas4dq9uHk22uP5+mnNuG
Kx50b//Z9P9LbmvQ0u9fOQkYHJbYB7r5sdfBrEkQVoXuX5mnmbPolt5QumpmfIi+waETMhwFPai1
XPStnOTKIreY0xsL7IAYByu3VOj/lM0xydV3l4PSGOEf0ozpisfvk8I8YBIgmef0y0BzkaUxF5iq
igMTPwuS2204m0eltKhbYH23akP1MCNUQPPj54/lwr/6/kKIfsZ4EHlhns57Ba811nnBoHf0JZKl
DGqGF4g1xbnvyZ39p4QXkoY78AtNlwFmy9rJnpE85bC08iX20eFKoXfzQ+kl0eJQTxS9zseoQKfS
+ljPFcaQ0hunrHzEDsgrH7E7d8Knn9/F9yk2OQey6MjDsZ0paxF+f5eCcMoSm4J2+TJjKiaCXahW
j8foT1omy1l4A12Vu8TCfGL+Vb+OLuX7VxmhJmk0jYkqsCTfx+y6d3xU97zsS4jV6QIoqOoy6k7j
EGLlek6pbvnyKFdmD/iyrxlxsq1BJd1jswZIOX5o3XVmR+B2ZHaqwhhuxQ9uIB9iXWSW6MdDL5yo
QJYXnQQ3OIdTY8KJVkLymWHfITa5c501IgpL2KvJH2ldFnP73DaMbUdnX/SoiuySYLL85ORxArDJ
mGzEjfW0uDIwG3cYKi5zmRcYbXvGaIA24ZX2aO4c6yE2u9LKcxOTUmsOefmQPHz+Zq9mRGP3OalU
HzHAOpm9DXcJ3H3PfL/5FNXRM1N3jMHm3BfULBNYZkaV+WWMZo25vbkx91zkCft+lkPHPyMvc3zx
Lc2rSS/oJswpzH8ZNnb3RhBteMINQ4ZcHtqrgJCHtHJD5+C0ObViAxxaFziijU6MwsLtkmksQnBM
RrQnPzc0OFT6ZGpXFD3kFiArWNO8vLkbq7n9QzljxUd7C82q4DebEayCkpvuVVneFCmjr8aTy2I3
EGBXxRzPUbeVuerYT1vuKykyZb34ajRRrd6ukxRUWy9NO5hzVAb4lBW0zdy+dk5Lpe0BDeUpRLR6
19jpNNhHjnOvewuL0eI1XT8qM0lX+DHYIuoMnjw/17CW9bHLykFl5yCv5tH9PMnOvNwcJ8mi+m1U
OsZ5hNkJp0jvStGYdabHKQmne9deBmJMk9J/737RVA1+CLoRFCtEpV1oi9A+fuAshClp9hqPr3Ly
87XcpyvC5Q1CNJeYZ3X9zCMLFVOl5N5NwbjeTjad5uquf8XL86HrDl5Rj9YTQlHmsPaki7TFedRR
r19Un9o1CFHVl6yqRLhml7U9GlfnoC6yAT3m0usD/6Vw5iAHnLSToZXByygDd1yfbahg2bOei2AO
H7poXWxnhT3SYn19720HqOsNQfmIClLGF2x/gB9o1rfcVrujFpP3FHFhYnbgMyOozcCeYh30SwDd
HlkFWdn4ETYIUYzit+tp58wuuis7K2uLCQ0wC8oLIkctFpFwWbqOtGrXM4mUjvsMKRCmYZtCoAfw
kE1xP3yzA0uzcZ0xcDljPWedWutgVWPHuEhQ+qi/HOvaWZv5XAdO44Wn0knNdgxaa4W68PMA/K5R
SspKgxJmCvGPiQgi8bvE1WhGEZOC8iUKGbiyT3WqFrJAt2FxuvtraoihX13Q95uTqit2sVMIJ7hn
oloTlVdcjRgX/sVlfY9xcFnk67SDDBsYVvkPid6at7Q7lrz/Eoyu5uYZ7TE/KhoWTOqOrQraZ4Jv
LInXoz3M+ltSJVG7nGc31sL6tgCokxAnzsxYz9nVUnXxvkkrxelSzw0T6DsUEQo/erSQCsX/MStI
rn9B4n5/E0BysDGp2KGOR4BI757tjNPD1Lqd++IsfZdZlInzmqHPQqfCIbeGtB2AgjG8Oer23C8Q
fNzPP3+O77IVFPLYxw4AHKCB2czmv/+He7T2vRNolLZeEB0po+A3bc8zCipW4tQs+TLySpzWRAhs
6u4hN5i3G0W1t/yqR/3jdSDLGtBUgzJqyNDvnkQJX74Ou6592WKjGwwmILPzOfahNNoMCSFHwewL
G4JdTzoyitrkvT9/HO/SDYpFOEswCmHp4Yn2g8puUU5jL0Jv4IUMFvL2O45qC1X7maapG/8Tjgz6
lPcQhaMo+0Xp8sMT4IvJdCAHsRR4Cu8qF9S4oF+Xa/sCUMl09CeCRcRxotIEnYTDNfh4zdTjNI6e
oFpe05SmofzFEyB1/j7rgWJCG5RdhSkBjD6y6u+XhK5iOZR10r5IASUZMaFtgyGYx9vDrG0knOOL
I3u22zWJqeul0epBSITeGD1lJuIikyBMyC4tm9wwn3KOPDGikFPt/Da43NP2wR6JpKBCrZYUv0qN
gk8f70TXWijS5JaFfejHMa1HaR0ZsgaEvY194Zfhvdsok2jo1A+7N0abTeLQR4u0+kPlohLQP2dJ
bFZxa/dTsdxRIVVokKEbR9J5KoTtcin5Vo6NSV+bRAg2vjmptvBfKFbf29CvJskZEt0VwwNWoyh0
n0sG6Tk0HDfPPOxFCaJBcnLVsMovzbz2nDFOs/qc8dsJKG26qxHyBMxE8t/Kpqq5WKbIKbXu19WU
iSfbSa3U+c0Kgqr80KQSes1jWgUuxxEaJdzjKfBGapqHvq1XRmbGJU3RpmQMPVXJjnnmVqFDFMN0
UswmT+Ey7ldUPdovPBfJSbvm5mWfqCdLLoHRScElyC1n0TiE04XM1zES6AB4Tc5/W93RwAla+ua8
ahVqQOggTCvtrMcKcT3KwDDuBR8WzAuzWDt3K1Utdhd/8/oPHLY1CwUjMVNMkrOZB5xilstHk/3n
5Ii1cEipFDIUAAkI69DzuuGgNxlgo0kXyEXbOeGHi1g0K2poQpNojXNYcZ5WLSc8/NOA4bDMWBqZ
s9qZLYhKex+BtL4/rTnPSpy8mmHHoNw1Newb9fscueWS3U+TzMcJ7ksRGVGWSZKP2CNKD+VpUM2o
/+nS6JK9O+PCM7IwlC30DtfQ1Pb2SD6PFFMWJKLyMfTyAge4aNsaGGytxKdxLb12tHepqHHyfKjX
rM8Z0syGpbPVIbcQGf2nph5wUTEzdo24VVbjOkd3fZKYvK1ofMb+buq4ofUxorCUEztekYxZMaS1
Co4lZ1c1dkGSDY3fs6dTOtTZeh/KrMzbD3W6zMnywo5Z5dod6tQHZj3bFVQF0lfX79b8YNEJDepb
Z9tPdjSOPM86a+tAHQrsCLhP0jQPtNfIc/JFUdabQuFa3VzftxMKkx6hPWR2hh9E5lOup7I1WSZy
o+zAHO7NlkL/PHD/ED3hVdLYQtCZVIWxtndBq6s6R/uNFM/b+QFiQGrncUfzEw06xenlh1pw7T5S
8NSREpmbXwERPxweseFAoyqb+IB9yIx+Hzi7HLYaFHv1BKevmp9wbw3Lx6WhmHi1Go9ah/YyTnC/
AhzeddE4NfgylG4D8rSE///eUr0Ia/CqZOyfRZ4mcYZ/c5KjY+Fmbjtj/e3PWgyPToemkBnrFl0k
j+xFmBf3CbNj6/olEVY/ZTe6XXnbxxpdlxh5Gcb9reRmgLfDuxZrgY4eg89rOhZ7y6k69ZwtQQ9o
2RVQLfTZbX1GK0+ZgAxB+UOp56DbRehqvUPlpR6qXj9/5f73PU2OacBUmF9IJ9tAA0ihf/+8nbDT
GKhW0zM0x9Dpv6LS25Pn5f0w8b7RbuJLd06sJwIC7U/XYJcSWiR6J+y3+PMIBZffgeKYStWxkQB7
bam5+AsovukIfuKSdmNJDTwZ0KHYPpieCJJ5d7T5Z18fE6sHYN2FTB2s3T30VwS1jgI+hixvwzTB
T/dUq6HjYY+NZU4j9EPL3P+7i+iFBPfOmnMlDPLNoj8MORCLvptbvZQVaiJl78fob3EKpVgmu87c
1gj42IgnP80t3ljtDRV+oiApcPo6KOdj9+7EzN9y3kxls6N/bt5yCxfjcu9j7tg4zoNm/Mrg8H0i
SwEIs5lBDIchDAZL3iUvxTDnSbpMyZPn50q1v1PRl/PTKpBxwJeXnIXoLQoV8DRm1zco8s/Xwvut
BxKKUyVQF600MPb36aPsiLVLCVEfgLlaX4Ntry9GJp+pLYGEANziQhIT/t/fy0wHDLQoSnx4ve/u
G+2HMNf+6j/RKeN7aWcZHFe70sTHYfaA0qOK7vcvsal30JRhUANOmTtm+hKY712sqUSOobte1yeF
jycKfe7Y1V6+v6arBCjhyjtZY1RgHReq8Tb41FXUbPkORbUFtq/s/CLqb6WYO2fZuQjUV78DMcRa
T8efP6N3ZHT2Kb6PgNk2tYbNxb6PT8ls11Pue+JpZmiVKjEuhVkIfh8O8Z/kAAXWMG5Rp/2XQg1g
NnsEzebiG/XfRK57LUXSVifoD4l8rIrm4CEw2elD30bmQf/8et9BG1wudZAZZ0IGwMxnv3unQ4dl
2dzUwSc4pjOBJMyFWUWz7y38qb0cHLnuINwF7uTWy9mmKcfJUrpeSl3y84v5YWFD143jkCrR/O8H
szOTJowSrP2pCdE4CWBC+Ca58uDc8V1DvHLADY3O19eff+9FT+A/6DFPAX1RqiEI82ytH8r+JJsz
ikOfSIOh33jb9MrAr00zd2m5d8fAwIcrk+yIWJJ7Clk+XXOubPDMgTEmQ0o6oOPFJNYBOihc9hWR
Y1g5XCZggtkAoa5asin/4GRiHenczrUkcfClLoP8n5/fVGBOhO9uCr1JDkrerWPyhffbNfEXhrAg
Mz9dEdmklUn4cXK6Be5THiGK0d4owEwISU0ZdmV2kzfugAZaiDIUN5UNuuNukOd1SAVhf4pKso6B
q57X1o9Saw8qG3pIv40DpevOQyPVhfsYzjDBdlEtgnK6jUY/LL2zj25YP35RTM/Y1nFLFlwNm4Mk
G7oaP3pAncsPiuHhD7EyhQ42GQ1FNh+jBWFK74xqHwzTXdqEtmqOmKngDnA3dWq0XlY5VgzMXl/H
uiiDSK0TKrJgcEMjPcoXHxYXN5dVTtWf1IZLg7DVrOYrllzNgiPwMNEkkjG1EzqPCxJ70lxfh0zU
os8OTMAa1/q2jCE63ma13UqHLHgmG0ZN0Mmh9P/8Pf5w2tCOZbQHYBc2049rMwxEtsLhGp9U45kd
ukqQ17dKoPZPs7KFiQoH0qnS8Rbbl+CXwffHrzebwsF03ZTKxmXhO8yEXCsvgPnbpyuU6buoXzEA
PcUh359fWlwoanlcBZLZvPRf3L77wwUwssBEFYIgPgnFD3tTjD6K59AxPmVhZqqqoiJ/AyNlZhsy
FFM2KxKbXM5KbdYBOfAC3dVnjRytpJMUFdfazHIZOrGPjG+bWjBtYVKQwG89gWs6v8iEtQTHt7cj
ZGAzNRUIuF6+9bqyar8yPY4+m8Y6uFki1dRql9jjVISH0VkiCy5mnBI1UJpCs6W2fhEhfwjXIVig
5wGYmDb9D5OVcxWW7kDz9tM1RFGO+Lzya7Pao1zt3spFEMPCsPFYLUsomvlJ1/0vC4D3CamZsjBM
NnBSN0Z7692hjFhgFWRLNX+GbGtlSDXNNd+hy6kiVCcx6/Hn++AHbNY4EzO4zzQZXTLGb991x7QV
hJlMp+yz8NMcuWrGPyjYds4CekXKKEWivmo/gq8+DmPa0YQm1lVoMNtgFIgntjRsfrU5L8Ol/w2y
NO14BCYfpDfw45E1oNmExEktmMHOTCRZvNLjuMd0xiTiW4KmaRLNT6018UywwDUJ0no5ZzjW/BLn
s0WbkxeMgscYrgHV9QCDnd9tgbLOvHp9jYoB1eQz2teu+9xp1A3r/VDVpt26JaAduTO7cAgXstFr
XwvaqVnmmBOzJCpYPAWeiwwP036vQxp1u5apmOihS5rRXvaZFbXBYWDinK0No3qifkWAoqaKU7q7
4BwM7LD7Hb/Gv2AfM+HFj3kD737+ut/nAmx6mso05BniZPjlvfjFBCvYTugTvFwry7qPRnWS6Iql
J0pTOKe7oGV7/yohAg/+7txEsY8wR4Zt5uiQVQkus23/QYltLdH0jJV7GgP8Y+MdGuuNT9MnSZyO
PgzK6/yQDrqB/X7VyZxmR0g5Qn50t0ZI6FFruTd5hLTXmwM/GnVPmcWgPte+zrVlqSS1j9rV0Vj3
KIrCkbHGvRCr7B/7LNKLva8jIXxo+qNtOrENiqERfBngmupDpeHI0WOjaFpqw0IwsBXymqa16atW
EYgSUfZY3E2m0fl2BbZk1TbMPiEuCtn33IIJDTCNiyFoH5GP9cr6bCHF6H6lQ15JeVyC2oteS1w/
OIwj32Jc7JiqFbbNfcdkrbDP60Qt9IHBvgVB6BU2PPKMTVDmyHdVS9Kkj445ISgPgsRiEgANlRad
1KUf6KqSNuUr6wc4c83Km0XRsV9u7YE9MkNwTnOrPJYSuUv6UAOOntZvywL+JfeD10Mt2EkSEuuz
r+Gr0neTCYYFpxIAB5uMPA4qgr1GZ2wlIVvHpYLqq4bBeon1SJyqi8kcWZhHJNE38CJRnLMq1V20
EyXqc+Wh70a0L3aMyVySlBAokS9Bv6sgI7QWUtiDmoeoQ2HPWwRjWaT0ovBua3C3qUeBFBDBu7MR
xVvzp1UWRY5KLYQ/e4CvMrXl10nM2n5LOhSnbqcWPYdsX0IkZxygdWNz0F3bz+MlSOSxmHghfZlO
S4nUa2vwvw12vfbkk62hbfFKiTxjlwJBqxVT3wohPsyx9E5NHFSQnS0doCoFsNSrv7ZOYFY0LE/E
yTWHaLgA2zMY4ElFH6aIreJX6Tbl4vd7jJMcooNPmw0cBzLx+8ODrd0wM4wWuZIi99SuwhJUFp+d
KI1o7NaNSG/MwH+AnmglmyrpW+p7pAtvdEUv/8DkTV7ey5EoeGjB9x60HuGp+5OTfWZCE8oYxnSZ
fnQZXhlQNPPDO5tngBNn5AZ+BiEe46EKId4qGQfEZnv+GwJrbmnJjwVqiMOd1QLbnicAnfwgZK6+
pkO5FCcvyDVCk67TP1Mu5fLYAXeameOYxLSVoatvw9aeq5P0kK0/dGkWjft8nKPMPzgjcl/YMjXt
BysiddjZuA5GSCMKfUD7GbV+xGrbA4CdTFB9V0MM36yJHiguGoS/gU1ibraMXqpmch6n3leasU3P
/dMJk/yumgOUl/MpKj70NT4FPfjH61yj8lWO/ddQiO7VctzyQ4ViKurro5+j8eNmdlor8GpBZ/2h
47hy48Mc+Gue7Auvrwf7AQzO+itRmXemQYekeyrWY9uyWKNgiG+4VwfshiKb0ZBVfg4BX3ZD4k8g
zcn6MK4ps1RJFS1f7MpfT2PHHNReORjmqLxrP6Ve2z9mKKifymUMnsfY8s5pgkiXLFrTikMb/p5k
ylisi+XgGH01IKjoEVZedtPSkf9st0Hwx+LG4ks6jP3TYvXpQwZ+flsN/Vjupm7wDzKXDsCdXo9I
pvgcfYw3oOo+TsgP5PNH6RqHKI0wZFn4Lri7YtgKo+Llr5ap3pcOWtCn2rfHO1B28UHj21ei7FV0
x6ruUcJfquQF2Li6c7I0+BS76+LvCugIuzKrYoTy0dWrEIf5ktCXOcPbsPYq6NOboJ9aTpMGJXfH
qi1/B7fOv/FV2Ly0o26g/2Y9DYxFWV8zN5cPiWzzPd6V44vDEM1BozV61pF0H10vsw44Dq1/l30q
37IwB8NbUusgFboDw5o6byjUVTdIaZY3Xh4sH1esYR7DbGjPDq21W6ERa8R0CMH4No+RYuql/wmq
DZoCEHXw4Iyc9Ih623IP9XnZFahm4jdalek/cTm/YrkzvTkcb+d6KZIdqqEW808B8TAv7c8+AfiI
uVb8Mcii6IZZPwm+PnADWR0Gn2PqTlJsjeQ9zlyy+TrVBQ6tZFDygaWJCHjSavaJ2+w78Fm2TFw6
DxlA1Nc59627zsX0IKV+vA0IJ09S5t2OM7N5BYtad3JVxVeBMDHqyW4zf+oC3ezTNnVIfuhl7Jio
9cZ9ravmjYDKzIDLDzyQUp4gDBbX2y2u1f2+WNF0Cta2uC2ndiJmiLV8osc2PmkOm90KE+g8QQHd
xXhOvyDj2GHmWEunLPdWrgSKLcyLYX5VZfXwhxONzQdBf/Bo6VpFB5ydbeYfS4050Vq/6oKG1jzJ
3wQNqVsomd/U4L2GeCFBXivnkzVF5X5N3O5UhlFr3TpjVyYPic9kBTdWeXvaNe0HMgqRnCpqI3Xo
OpcjWVhM/2Cp0BJeGx/Sp+sU9tfesmZE6wOoxH5r/WHBohQ7pouRAOOqqr/CtQluCmwC7uW6dH8m
tbTuymJUbC5/fsx8T99N+VAw+RkG9YEKuPtDc3bcO0sQfqHP0j3VTNf5iHCX4ylcdPjqOkPNPGBq
9XfRGETQTUkCUQCrxQJy2o7gAC4k26MIhvwRtecJ8Csd2kNbYiiCkkGSivh3v9bx3h16zN0bnvAd
TDX3YEuNcCqq2M+SLsRxcguRnxT6K88ZJlRq18R1yg1JYgksgGfSduvJoYnxt/QWwk+Sew/wIQok
7N2RMUq4wsfYm+rPAP3Bbp7X+GvqyexLmdnY+klIr+uOp9C+OEnBEO3sQCvMmUM9ZzjM/emT/d9E
1iLe/MEbbn3kOEBOtNhPKClVuzltUrZmpesTHaruLnfz5gAYT3vBL9MD+tv5XzGiLNiSxfFT7zDr
owY/u6nidd5XahiP4LTZfb2q9r7LF2TQ1bdiCOtvHTNaIBy0uWTpEbs7bzz28YqGfBW0yV3pj8mH
PMLfjzGk/uR1OsMsSOftgZHM4MFvmbWNWvtPMDj/fi5nDDAqbzzrxMHbzGLvHvK+rX5ffVdAXguQ
l62ZM7tBuLr/HIJV0nFBfueDlVnInxeDfG76Wd2EiYWhGdHsrJclvfH57uIQKd96FrFSdKeaxKpO
c4HI6bnMYlH8bZGCr6/dkCJXdlyZMxaHcnUMtpAzaAHQFpYhhVO7kqjl+xyKHFmki6l4Nn3sRAnl
5VqB4udGQXyFJ6610KCbsfUwFxpMj6ckoMCM2Uo0RGkFtY6oHTr8DNlWZZXskXLWK3YtFWt5ZKjC
0vyVYMO+Sa5MqRRdcHhE6/qp2dkow5fLzhnpQb7OOTaQv6VBgvsd872GCYd0p4o90v64K9CsCBr/
G3vT4I0zjl3VtB9qaBmHZVJqfYQnkqG7jFlbC4qdIZ6yY9eFzQeUoEbFgFMSYLk2QXQXR2vovf5g
WY1pwaXNEv9twxlI7+BcOvW965ekeBYEXX3qIr9tnnyNT8fvaKbIEb15YLf8mW506jj7Flcc174H
oJ2D8AwmlSFePBkTQaIjDNDliG+aFQONdYjbUiBmrTiluuDg2lGkBwPw2kz7AX8jU+wWSdWIw+SQ
6aDqB1n0lFw6Jt26tgszltiFjX/DmCkxDRsFo+J//dusctu4fNRB0GZ3ix2yxeJItmfUXz0U8UeM
OMKvJGRRfpwKPVnnrsOt4tOVVlozrcuX223WrK9bhYyRUId8Qyp4jJFQzvAPVZPh/NuLNuXCHNQG
VCvbXEIF2VLj3LYMbntlBdUlOvwEUhMFnq6tpiuPKmGaNAyPqcfh138gl2IJawotanqnqgya7k3u
WhdmAHVYsjOdgJbvzJVHuW6ttBpvqwtvpMwAmZ42bKCpPMNGRpWEg/LEOjfVPB0m8IC6myr+ACvY
/I6Oq2EtXdnLUruGVCdsfIa5u4qj42mrI9q5Mcxsw/OY/0UUu7wBEbilCmrD6NbeYFmmj8yaZGrB
5SluV1Myqc3Y8Ab9D5R0fPhWno/KMR/bZ3XaVCb4xLNzKyIVKOsWGWEPdTj8ajy0O6m+l979mCrZ
M+qDzT1uYtTFnQJi1nQq8OTK4JArtKg5/Jk/hkjJPt1I1w1cwwFqCRJaF5YqEiZsRkBDc6kp4B9v
akkdCz4bHAPpOlD2SgfudO0H5vHILjaWwJ3Q2YQEONyS12nwTX8mtGMeSLkNoYxuLYBVMpfqAF1V
3Mycv2EgZhJYO42ximX1MCD/CvUUWKVLslHEtxTr9Mp3Esr7AD1frwA0Z0f2TEvur8+q8915tpmc
tpRL+wy0nTe28aSV667C/9v4GPqoHHvkRPax6EY0928TnV2WT9Ob3YTUd3h5I75ZucH2mq49wMzX
MZ33OpVIO2CYgUVtdJuSsFQYBJU+ysJoodC5kjsctXkERdgZ/IjKwvQMw1mgY3CuNSwkcp+07Bey
QdrHXIrvBlgqIqQeL/xrPVgwnJmUMEuvW0An3pat0zmtEe4vewzURFYbYKrzv9AyNP3lkWaOLfZ5
QeXwOGfBHBuHFmHuaVpGc9tO4Zu2T9gpRY0y+4lAFLSi/zK/zvQPhje52Ayy3MsEE57HKqzNzMOA
anLOVWj6zsMea2uDUyX5kiwcAtMy/1kQFuzPNhQUxFzAlIr6NDFgov6kasu/NoYmo/eFEZ54tkU1
wZlBJZ5APfRd4b+KNSuqhzyEnXjqqcfCpy2WjGFv+szycsKMWW3lX61ArdyFGm0gV0vZwAzbputU
bp45qlCmt6YquFPo1yvkn4KdW+FL+3pt3pYjPHSy3kvxziQXS7JpJ0PhgCADArcDoQkB72J0McrH
nl0b/KkjGkvfpCCVfiuD0RT6GCqaVvR1014oaRsKNKR2wGkXdpUwGEHru+Nzvci0/tq6tDKmXbVM
84JPsA8jKN9v8egKWRaX4AQHx1xOZYGqn5c6Rh41jRq/pR684L9toulObI+oL8u2ZlARG9OUtUD5
OP8e5Q2P1hlkxpPyN3IjjvU8gg2j3E7sMokCnlQz++a0xzHAnPMegAq/1Bilc48aS8T5aYvR12N+
iQpg1qRcvL/x1fF1vbdh689PCfU6/77ZcGrlZzxWd4kMIxY3SQ65Q9bLKvi8hTKYNQV74oqCVrFN
u3HYABTTRrXGj3rpTaCpRzz1ONc6DWCbMnXSvU1uazYSuJe5RGdezE5tFV2o6WPK8AGX39c0O+Qu
nUkCxA7gx/CLt2UCbGb+huxac/MblwbKrjl+Vk25Tvxq3FnK20K5GEsfroE4RMqCfbAagb8ezgsm
daCPGLJycUmymNe1rZcRd1BeO26qmpDoMT3GU1cLZEzcyRomZTAxQQoAPYlGlkWIsHJQL4STbi6Y
6r1VYWUiAdCgyXmyyib2LS16RcQkTh/Zcc7JnEhfh6FZ4Fu/9l8+xpKanqhilJdoq+P8Mh902TyR
sM2iv77sEHrP+ioNmRgxlD4z4QaVJnM85/VgSE2RjEyGZxiR8xODEReuEc1ACz7lCoOU5Hci7D/2
lzMOg1Q19Tdp3gzedBQMPVTVHfBn3PVnZ2Bcq/nUJOE809kOaxb/GZS/tOH/IgXFeBqWRgpWiYKC
AP1u8uFpJvGu9CqsOW+YkTNkmhUlIK7S83uzyxm6M6s1tKWHak3VMJX+bagcCZTt9X7t54fAxlBV
nxxnMa0CmxYyT8ar4fm9SZUYojkjGqbjTTfH40dYkT4+hZcjx6qGy/l9AfkZvre5uDoiHXkbNnrA
tQFB19I8wBlvQV5WG+YcV2mpAl7ntau+HV78PvSynQeCS3Z7be4puaLgic6Hbcv2BpCfptOdhAHE
pa1VyvvxR3u1vAAD5MqvsBOipDxo3TFE9AFSN6XpIfPEHJWHK7GXlp0ZsUziKLHcLwgWrlVyUttO
vi7jbUM3Qo1e+pjl1ryKfQffQnZ/Dg4S8kfJNINaDh0TO9zFNdNBjN28/xwJEm98g7J/WV6XhkuW
ScnSLhMVkJqE0YAoxL3t9ybqCoixJGZz6Cu2QhuCAz3lWxZud6lhXF8fYNljHd7TZqzMySQnjHrp
uqYCVgeS0DTRg0O7sQWGODZd894qIMLRsR4K/DLKXrBcxIWMM/kJYitPSHiZ4MBArDmoeo5SPrHG
wJI/uY1vPiNX4cwHXxtDmHGZQ/rKiaDWN5ugtRmLBI/0bUqXp7LsusFDxo6Jopn5Cst8Jr4C5t9l
sl6LcV8i/gJEjzSgOTSVnWbwfMeaGkreNuGS9TDwR7IjujqzCxN5v5ZVaIE4o6pXMyd1SaOvTfqm
h0gX32KmnUcoVFw7X0xz8SacbT6qI2nhwuQlDd5OREyRzeFtBeA/qLLEkHkkwD4meSRtDLO0cM0X
47b9tSwDQ4a5pruAMD0vkN6WmG4lBnMspOua6VvXNHo1pGV+iTYM9M9znKT0GM45/cTyUSivIR0j
KzPbZnZT9kFc2WaTXZ8rFEGzUxIGOLiQOR3N7rU14STYJUMUTvZh7iHy1vvtbANKN0S6BTBSHyPP
XhuJYBPeH9Tn26a7Vh6wVS8FyEC3+PYa9vOtbR5svEyI0TZXdS2TFug+g4N/Wd7T/9gq0kxC7+Ok
LsTIM9sO+eueZqBxu3dq4uLUbY25xYmYn9gpxrdUia9XziO7Bmyr0oakys3n8Kqv4291WwjWwVSA
MSznaOMqxYtnou615ecjsMODGbajbWsx4zNujpxryC622D7ZYuKXhdKX3KEoJH/a+s+5SP32POnV
0w7Ovyb7jgt/5Uus1mP0517kDpHvOHXQaYrT9qC3JZeQGfKMtl+5qjT5TcQj4ACwa3N2/vs2sZPk
SWX9YF6+7c/gTTuo5Jz162CZaOpNpPdkUhiyBAso3mQZzZskLkEYsTPG6C+jswWMD+RkZ7vrWt/e
gzfG5qWj8scp38eZufTo0lS9ptzXgzyB0sJXJeVszuLrn4APzCu6Ug4oCM0B7QyBiOEMx34WQFXY
NkU3IIRenP6lEorRnP3lrMxybebZZDHCwdqdFA/WpcmYwVr4vuvoyPWSx3YGAugbfF4pOkUv1leR
QuszTCqafKRQlxQImq5Z6ts5EG6ABhjlZShtXRkAOA1eZ549cocYyTOh75vZAEo7s2jtrSQ1DF2e
d+ZKU4ldpzCVExkcJVl0S8hdkb/S0DCAN6AaqWk2L2PZBiclCDZfdCUt1nFkGC7XoncNKlOZXTm5
/8PZee3WkWRr+lUadZ896c3gVF9sS0/KUdW6SYgqdXrv8+nni4xQneLWgDozQAEFitwmM8Os+Ndv
hqEW83OAKc97iuOa+C5bDaOqxTGYYEIeBPkH/2KCMyEw7dTc4qxKNY4iQiz+RFZTsUnQJrIw/Ur3
DuggNqOkBlQ8Gw6jGzYkR3KhMWw5JG39+wnjtG0ECrKD2roRl1Nl2u28nYZiBFCUYZKJK5mSDagG
A8bdoBFzo97SJhBFnqyiOntiWSpkpR/ZtWDWpXKlyNJhJG2wpLwJibWXOjSTAJ7sfoiQ7InFW3Ll
8Bvksaixru4dRkMzHyzhFjXjZK05Jxu5fZGkVSVctfqFXgSovyifwhBd6EuZNRz5PRYy8Xgl3IXJ
xwaTyT1U8YUJvyV7cE+ombZir8r0yh68IdfXad/oc2BQ9YjjTJW2guUgS216Ch2Dx5F3zlpx1DrB
p9bbagfRQ+yE3jSJMtYwc9EoVvicY2GKwrzAjRsO8/Zl2cgXwf+KEBU9W0EqFm9FgUDOJdZ3eRTw
5SqvbjV0qw3CAMXiqXtuJ7g03hzG5nxPSCTK8b0rJdiGSS3vHMDsZvY4W57EST+qGItqAYISLeoS
iX/JA5A2Qxy4R6RhYAJHw3mqyBbdDkhFZyZNRm9rO/6+ImWbSbFNOp3ekE7B2otb1GE07uUl/b08
WEhP7fhnc68QTXWk5ywman31E5bJAl5QTzaTml+mKadEORwUhIkeeWnbZ+jE0HeLFr31OwW51FHa
eyYU5lk/xa4mbilduI2qsg1kSTpDidhz80q5VoFXUsVSJzoQ+yyt687yWNjO/tTdFyzf1TuO7cXy
mDcwQP2dPeOd8wL5UmikoNF7TAq1O0pBgyJSd2hAWQyShmOKcXTjbm3HG6MuqFVOULTbEUmHFuFm
e6XWPW+qxH4w+4XY9RpbF2VP69aiwqm3Gi1ivrL+KTyl4lDH4xvbUUxVdVSy3EmUDTjJCSWDWqy8
MhQCvTYkDxMGmazcKscXrPm4AO+prk0okfyEsMwS8aMTsraaKnNzQ8jMRkj5DMePe3IU3DADY1Lf
tkPLwAHTJWuci6WzLC4ocpdZb89wgH1jwcvcFfy73PAs5iXMOH5wxeGf28ckEYN0A8f9Crbwi7Vq
BlfFJBbc/GkDDiUsoEi1chJ5KdA/h9LGFmVGqxOPBNYDz1lMwYJkG+q1Sav5X9OwlLFRd5MoklHd
CB4QeOnK5TpkxXJlqjAZJcC+ykpKEcOpHLf31KEOgULKsqYsPLGmakjfPTpiPTb7ZEDRtQFIWF1Q
pqvJId7vL26/RVuYryLrA2M74g+DUZiR8Fm2++wD6LIozOFmiSGAB714pCQiRnhp6qjgfXz8wKwa
6AAbaBHnmkvAtt9vnEYbminXLc/MlW1vCFmGjJJsLhg2rDyKaaUmhRcVNBkCMF1mn424kxsDR1XU
fp1Njmqyb8t48ZiZmdWBlysAQm4ASqgTzF00HAtyfZOOvtNWiirIWZfgsQtHk0cYy6rPn72SJgZC
CHEYKNdEnEPnqhCYwjRYka3v8bTulvGZdB1r5kTpl4Yx36xYbrfUTG6RD+t9jeplJs4ziIIuEFjp
GtZ5/H1udWqok5eVZvqelG2oNOfYdEfHR1JlRAMWPB7UK2r3dh2Gfer2S/Md/U01zgcN0WP2wFGb
BB9MYDNj+NyhoLD9A4K5OAUNWleLdMUQcOi8jl5N+DJolHHfpV7Z3I4NpKj4HOScxJ+WeBysaxwJ
q/y5ZBj9x9Fo6z6TRU0qnJt2K33NtCBB2I+gTt1UUzP8oddNWz14hhUWZ/Ka1gEWldUtKSkZpq8t
zrFbTVvkAMbD09wytk4F0SZYN1f6tN6aazoesio1YQZVpkddELH8Qjexg2rZ9U7gDAd9muF/WV08
3bTO6FYgNZzvjLtyLcvpUEPuck89bb1hF5grye5+kq86ll9d0PdggD4CvuSELbqGCjSptOFegz2c
L9Sx5hIyxGgBztrOKUMyzxHq6SVWtiYhkS7dw7WdSN6a/JQo3x0t7Nae91WCIgjHcTyXXI6arA/u
QWcaYHVLkopzRziIZVJox9noBTdGm4jkS2s09HnFDNbIp0dy2Ir2a0U6e/s+GGNnujUMb6hOi72Y
JVLKXL9K0pQYydBtx8caL4j6ugHxJIgl7yrt1qnGof7msyjX32rddVMwTs3uly/k1Xl6dkRZO+IP
2g2IA0GGdd97cXNcMDSIip9jngShSwrHrq2IJhFDRLQ2HDbuuAdrJDWcUe1Z1RdnpbwCRBtm6nAl
rpHAoWdEkXYHM8Z0nyDJcGd2rU38nAWPPaOcgRLMmSFZCse+imi9lNi/DjooaiWXZQ0SC1O1lhuF
KpRliW9uS1FS4Q302Qdp53AgS6SK0HY253RDWE0pwZL8zcAMwIBnrO2yezqBlFDyTVLZv2T1E7W5
fBfD2BxP0F7RjlC9DBSIk88MYx6Ey2HeZHVqw5GQp2yRkuLQbGuzBdtsD4VaTPyhAspO9l6REiat
mevqfArHptX9x9leS80/Zr1BuZkknjgircLd+HuHmqwqaamJQvSvM5sojmajYXXr/KqqPva1H5Yv
SZ+54Z8TFkfD9ayPevGOaCW7+o9sb8qrXRTu1ImO56QFHPiSZUpAmEk56U2aQV3+jLqJwIwKdHHw
T+hFI3JNrTgUG3Um+17JVpVEXKQJhwNzlaS8c4a09gmJ7qFmhrqJZPSxMYYoX84Y1vSoZgaH4wRh
0ESSE8DaDWX2iNN0uP5BCC0Ur70LkXLcZ1kGXoA7ZIYj1lczN1NDO1ddnkTV+N7reHuvuYLqYxCv
GoNeuaO2Z8OPsbW1DmSxobreN+RJR7u50MmyH9oGUz5IU6a2b6jCq4d6DhrIT8tENPg4OX52SiiL
Tk4/xfk56BfoSZC8veCE1Yv5IdO1Rn/oaBQeUI7NtIzy/N9ZnzjPPe6pV5XpD9/YfMhu91Z9OYaB
E/YHmId8aO7F/S0gIszYdqyn72MCBnfFua56L6JqHwpo0jd+Oo7HYQqYiD34sv1njf1GeehQVrfn
eMznb60NpYzcF3NK9lM31C9NVJvt3QIH6OABpnxoHb+9nfTUvkOwYpW7dUJddcIWu3lwnTl9WVBe
P7K65Tzl1I4B5QrrU1y32hWJ6S6q/mohIyE3phbdgmXpX9B8sarlddV/ppaPbjoeft7icjpY3iGC
63ltgn7/CQZNcm0UxbA+2kAvsQuPuXlZ3ZkvtCAy557IY/659qbUIOeWlKZd2yYg5IY7umcCWeZk
l9DWcq8dZ00y9LA+tt4uvcQXcjRhIEUmmYM7Ih3pxXN0mfaLmZBUnOrNPRRrusUlzvrZIeWARN+u
IdKzSKxDaljTXRpGxh++XnlfhslIviVxNtzAfLQesc9llAVueApqU4e/lNs35tRlWILTQJ13ZO22
N2SXVf9mb2NnGNcu+7dm2OUpjph3HPU+DYUb/xFyHsJOZUqfSj0oTr2Js6/j6PPJsmb9i1mY8XOY
OO7eCbLkNGlr+J4A9/xPbzJzOrGDOe+10m0eSttiSU20eDzAsCuas1V4yZ9zpRkfOr+L52M26u03
uK+YocFsBAC0Y2HqXmcRK0tYG/O+aSe84JdmoVOtZfWD389td9QHsygOY1BiPNnryXj2XG/6mgac
xQ5l1Ol70yYvleAk+zbF9fveYY+/XaMB3mC8OB+MsslPQxrifFTMwbVTFhGcyH6awmu4m0N0ZF2q
PvjDEt1VDXKNY00F926KkulPs+4jGtCjT0feSjHXPHAh1gdLyPaf9Bn5Ep3o1Nf3dTSH93xsviNq
aD2hGCq+EfqwOB9Tf8SyhlecfNEf+E/CnvkVr7kyvNK10R0+BQtkJodAvNnz4iPH7zVwPzo+T2jO
8L8aIdGfczuG0IvTAw1UrdprQ2wOoBjYRlvHdQEKRlHeF/MjYSxZf29O0PCvoefUxjU4Wma8ELcY
zOneDybfeY5GGB3DzjOYbawtJpAxlR3+L8WjrptFxsbPhNTn4kDujRus1o4PLbr0McnWDCZRLxpd
a3IDXZn9PW+X6VCU4eDdz3qq04muUN7dTUtEa7ccMUk5m0uyPlV9i0m4njndE+nwNvb+mITFOP/N
JZS0XarTYL9a0Kph2p3TKzqgieiXM+tuo18zDHLrKR1yZ/2l7Pk1T1iYLtkO7D+0JtBMIJy8Vh+Z
9ZLAha7wmNb0YK6/01jrmvwZq6IiwyzzLzvN/4uzHu4nrz/MhIdsMjiJUkJxKtxZXn+YPa+mXyFw
e4orej/NLsOHhGUhduqaldKJ7XGurgqzN5HDZY4OYSOKaiN1aDoP4n91Hlb8oWr0WXo7Q/nfHLRG
wyKAZR9uPzgh1orOnnYdLpJoLkhP+uKaA6G3eyyiBQCDOYjo2gy9Dd/t1kYaCpW8J2tGx+mehgV/
iVBt5Wv4oBvaB4NhLTCndBjGZ1ahdJ0xjoWxCLtRs1uLTEv5RTUQWi7Mm03x4jDSvfwhzhHSm9fF
1Dq8fb2uurg8jhUk5Myz1QV8prThKrEZasMTOQ1BkH8q5Y2Y2MXn5TNz1/fsvWn0g2494qM2JstN
ASnNHU6Mbsdubt25w0LsXYT5CBdQ2rQs7KPbZjH3LOkKcdCOA7bucmc0I5y1q0VPxWlrRE3rFlcO
ruJ2fHRo1uCcgpGvnifw4ABHzUNshs2Q3UXN1PDAVmS2iX4dI8pbw6fcdhMjPVWjnYdECMCyBDiM
8wmLjnch9Yn7Bfd28VUSq3RwU8o46qO2UM+ASdWJt6xtKpr3ClIK9MzFoqQkYCuuj2DWq2U9QK4n
j2UfcA7FgtQieJnSUGsj8f1WPDNwxTQCKH/htTgE88i1WVwyJhoTx6JOx3KEdIEuEwCtjxqQK6+c
Cqs1OYQ0dIs8GLM0gkE7hj3FeXGosKpq42Nd2Q030TbqjhGKi61VaFdZSFOnxDB/sxPiTGfo4Q0x
q5Y3X2Grh7/SgYQmr4vu9RHHdADvMIL0es6WZBy8h1pv5jn+SMO0oH9iupnDp9eYpnA3am+gkXiN
pxcj8zqpacnB0/c5c+i70VoCIuuTujfuOmmQhv8eAsb7uU+JZdLSgKiayLQ7N3lMYevxHYfEqXnp
L+bzJgj7b20WwSYeAiJmtWWjNXB/cizn07ENn/PqaUSXZ7d0yE1Ls+jAw7svd01ZzQg5rd4F6t5L
zz6wBIHh+tLGc4kHYhBwDqlMYT9oujV8/WdCp7Ad+IPgIHHCh2OmBWizpX9JRgPHPYsI2yLcwygp
u+qA3lgrvR2bBIXR9Vx3Ond3xB6KjhWOjuLzlE0q7Bhah7MTAhrCBBAeq6s0dnV4C/4uRhNATrhB
a99ojrENf7fY1SYhGudo0jI8tYBkKTghYNcWUho/JJtqIuZiFOYqed8Jlxnl89akZY4n2w6mW8BY
Tulvh94RL7Op7m9zw7CK4McLFzNvNHjWPSO2oJAZvaUhtmG1+R+VZO8XnCK8qfysOhyEr41FfZot
pxhR6WiMevwWpeAyJlWWrySVK8qfEbmL8GAEPgrbx7XO8DSFqpzV+BgS8dAAgcJ72cxwqi5OquKW
OnWusLZ2FyHlVIrObo1CLen3WjEIMIS1s6iiR9dFXcXorMlVwMpHqTmVd2DqEAncPNGJcozmCuGM
8DIym0VgkUiOrTY8OCP+EnAmsJbh5coCMTQ3KWlTQhQyHpTPk1J1mTXiRdpltJG9mu5LSDgadVHj
pv/uDHHuPJqdw5HrusyQE8KwjTZ7mYAht1g4+GrY2/3Cqvu1ghbHBt0iKJbPwdzOM0xLCN7+Jmhr
hU4zi4L1IULTBaBYb6p+yQpUTQHlWqGoGG9PxNeaVT7eBOBhuAK6EMjw0x4+0vWtCtufH1R3W9Gg
lHRV9t6jpBAYHaogMakUIPg/kfqbomL4+6LAhMQEzjEs2xIhyJe6QoxRPNEGTHls9rDAAOoZpFSK
CauBru2HorNIzxvrqmKuBJPQisUJrV78siSHQY1WDJlCL32KKScKdxfzOqZrQM+EeScBATR8QjM2
0LhJvg6VHxXj+ywrxZamjLgIK/Lc4hixcFNTv33XsSO5uFI2IxxKWM8xN8M85lIva9MyRv7aR49l
VOEwdqQc8cvqRCnCsD92GEIwL4AgxE4DG9RFVCiX8IAYe9JHl44drLg2/SYj0a7Wh2G466ngy1Po
OimvZboQcLhaY0zuzdZmVCi97MkMOTwG56DYUpJx6tmYg+KVSSgen6q4DEaYCvyXYyCtj32nIeRd
jkBK4k75QyvexB1qfAJ2WRcbtBfMHqSksItMIPtsHgCupWwdplgPYCeH4bDBHIYcJDqczZSKlqM2
6YK1oQiXUHZAhVKdJf6R5dEk0aTEqmC5I9VR0BR8jfyX5ZyPBFpgfztH1gI1m4NEQnjIjMF+fFJs
L9kU1qcYv4V3FrSk7AO6TshRUok7FyD+dC6EeaUY2pnVroRMRUVVHANpW571G+1vGbRuoujiMdS3
Ujqs4Chkh6Ih4Betm1Q348R+Vx3oeYAxVVrmx9O801csJYbbaC0EraJLA8EnkTx5W683FlUOoxZ6
hGzyK8Zh29CTya46I4+giio+aD+bosUr2+xpRb71VRnQQV5uUtl9Vl/YawxBQulbX1h0dwvhuS2c
u0x0rHKzCz2bVKQ8b0V7qFpCknk4HWsm4UWc5odHRy/x8T77QAq5eTKbmKyc2ymzRSMFlULE91rk
zRtKwA3vHdHGczTs4WQsiXYyE8ASzI4qT5BkezjOzMA0AuOI3okIgqi9NuEgxNcxruUUdjVgNR+g
yDW6Zqe8mh2/oR5cAjoAL2PNXOaIk+iRRk9MdYtUFeNbY0nLbvFCgraujIpN1bxSN9PU8MVpj/5g
1Gt/Ykn3WeDbVRMloHq5qQ8dfU2LXxLug0Igqh5Dr8X2L5D0RAK4RYNFNaz6Wdj87OceLtX7JSlm
UF1JRVDtJzZJhpj6QXV+cBwQT723Z+hMipauvKwyQ4O0fmWY/trP8G2NGso+FERf/1DjZ5JRQztm
i1t46JrC3bDSOG1bt05k0NnbK160mox6Unqjt6ubyNDqg+LkRvKB0YgVg0z2VYIaay46ckMORrDs
OjnWBliy19OSdoWPKkE0eBbO6dFWjagqIZedd4kljrnOgnTCaydxmn2HyDYk6ag2Jv2mMUvw/yOd
qWkCbUAHw9BxprYue1RUM87ID1VVisYhevysB3F1h6F8ybdlZGJash6w99cz4rBk9ehXw0GO1tBH
CkfVMp+9OMLlf5foRZzd1KZmN/Uhr/RoDB56DqGMyZ7zOstQ6rsNfKdJenRoCxQCprfDWMQZQXaN
JWSr9ysCvniv7LLGUd+oTlhwUEooVgAbl+iSGSwoOH2VQSNW6mUaRHdP8d6ylnDUZK9lxCzQH+ca
+RLq7q291nHJUd3ow/Vad/4TLo1OhDhAqhEky3ra6swirMUrIcgMBgUmPRhTP1ZGDoEI7+5whBtY
aG1Souq0SY+tP6BkXXlBRp1BIzobhsgbbmjkC+KGMGjhe4c0WpiRWdgK+ofyh1KtbqvMDUHXc+fg
q40+Pbu3zQxS6K53lyYad2nXoQF+Z8zx6I7pXk2zSSP/HbphMrUrqrbdnLaJkT8BSsW4AsCC2eby
6EPKLO6TKhMj2HI7wVpNpFQAa20dQ+zW5Oim/7Bl9lb89Qgkg9oumK31GAhqFJnU7EQnL8FxIAp2
kkTVOAMcSwSPgteTocdgKYi4WpYQ2X9oE+QK2a1LHQ5XJgxgonrvGqOG9QzZPRC/U+W4Lak2Guj3
WOyr0Uxz/3nxPB/9mqRUqO+j6DCSMDKHml1b79XzGiSH3EBdyrkYGEATC3aMKZyIVEixsu9JwUNI
3d8rI1k6l41YJuVxcKxjMUCnklaf9b4ihUxzaK5jbP09ElTQlzAR/mGw5yBZz5t7SCyZ37A8xRpD
lKBNY5nlebvJLP385KeA59NdUdCoSq/qmXMuvumei4pi73SwgKazK/UKtWTERyKN4yUHD0BAEKyV
L3Rmm/hLXaBiCVqS6gVSL9rdksyjlhhJuFKUD7VdhpLq5piBzd1XK3YxTIIgo292hUh8RAHSSOED
fEdd9P5dzKfLp1ESwEfZTaVhJg4suWxIKPnMIDdIRTVA+CzqF0VUSlqU97gn4Y7AlFCIQZPVAthx
CPfheBY5/cazIS5YTHN48VyVEqTRXxIt3UyugOtm39JubF/F1VltRM2MOs9bcG9vBlo//snUfNG5
d6QKSFXzqRkJmj/IK/Rhc9qMIQvJIlPKkhzDBrZ9j7hcZqoSyUgGdjKHXehcd6ya+nxj4gCKp6W6
bjWI1M34QWKBAywejqQhqwa1uny1CAce05BoLgoxkVtHZHpBGWNgaO7tYxOT2WtzhP0YniZZ/JWD
s7JxL46ZFtXt3Neal985LSIsmqtOE07fMcRhsTzkIXwYm5NV47lfbP6RWlZiaM0YWlZ3zFq6Pd6u
7AkK03YRlT+vAmsWUBphbQK/YFz4vCwcxKMxIx9gqLN8Gmy7tWjhIuxGn3BJ+8iobgEr7Cos++Ae
tW8q8Cu4dLxj6+Tif4GdYHCLDY0dzl+tkSbAlwnbaS5MkefAdvmKmIXxdXtr4IANb5hK09y5qZnV
nxBeCJzOan2B03XrLEauhI0oIDp+UEBRJGHAuq3FpBwSOkwa5JVQMPTfPk9cniZge2CHguUPhyZO
c5c588QjtwgoKuthSthmKiaEN6d0oLbeqC3HXWdOa5XgxDumVnorx93b3+Kns6QwAMWzzgX/4qlc
erN4eqy5ttaZ9/6mX1JTJ4sZDdBGt3NtOo+iAlEkwkKK1WJZGb39ZS6MYkwDyzycf+C7GGR14Anz
+lydhlXfdE443sfOLORa80iVxQqzkUSVYgNOAJr/89sf/NOzcOiiG6QJ2sDiBhjX6w82e58kk8Ae
7slDFRuuh2gap25lqDbYDe6CqhYYkyFAVxbJuv3tr3F5/QALYnX3DG4CB+lL70D6XSPRsFN+T0iF
RC1jwb4HwhbcNo79QqahzvJvf7JBhtWrUzygAh6Lpo0xGl0B7/Jsi6Aqwvo51O5iqQnJvZBzz9FP
m7pFRLrppxQ5aZZqncFvxHqsODI2bM/wo1FDa/iVJdTlEDUNj3vhAFQEBhZGly0LF4IJhmqhfqdO
2IrN1m9aQTlEpdThB3tPqmUcqYL5xX26RDtMjNsCkvFQ/aD+4Tu9Himti7zeseni0jeyVyycJWEL
Ptuov1+ivrEHhLm9p3/NM1fA0YbVlsbXZsAgP9oHROOyrFSRF6B2ccYcJskv/DIvjGBI07Atx/Is
6EuegSn/hb1c4zaL4SDVv7IMrHdfFAOwh8LwK8Pii4ggB/QLuoVJuI4L15luxMW90EOd40Gz2ndT
4ftr/Nly2r7OrvEXsXEFYudg6fRIGCv+MHkWoD/EWgaUU300w2B4mD18B6ZjCYzjDT8cl6Yc2Rep
ZcIl7AtVIWJ/pQbiykOtP739PC8nPv4etuOTaY8Pi2P/ZC7K+jzigh9494rWqY7jNa4nLPhSbOFv
2kCSn+BzGmvh8FDf/hLOaztWbqSIIYelw8Inskwv+2TsoaPAvpd7Il9zNrWx6Sq/vQ/GIA+fo3nW
cO3ptQUi17uVnYQRlMnEsES6KGW4l9kPvecsdXZGkq3DHQn7KPsaawYRIdbO7YwRm0h/oLZNzvZC
A5tDSSQstCbDjMDiAILpe0GJFdueKnubAhyPsBvdE07uCluuonmErcbOD7P+JXCdAMy1BYMSr5O4
HkOi4i2HifgjWIg+IqmMogB3oQoKVWNCB8h0YfjA7PF9yje1tLqIJbUPkR84CZ5N1ui14xFE3ur8
EqpfGgNCj9kCNf+sj41WR1xBPAzFOZMqkcjvBAcoN+M41o+eQxFYH3R0AH1/0zYxTrtH4INYf377
6Rk/jSHyN1ihdAe2Gmq+y13L89kP4OUn9wpTr+XlUzNxkrwBkERZRLjSlAf0PCUz25H+5gq8bGTO
E8x0AdDpK9HcAS4o/cJPkpykLrugiVd90mdchiaIo74b/qple9mxdWnXYhHn0uExMDi9NNu1yHED
LtfbO05RtVN+Q3sXW+VJspBVsJHyRoP5tFmkbVo5uUHEI+wY/Vez42Jn8nCodMkZcQPXIOn00qd7
hCbeejT17rxVo6kOihoWBJ9r86b3/P+qQzwdhrNj0bf2RH7YZmj3N3yf7gwEqNQp7lTrUpWNjSwK
CbZLqFBZabF2+wXIfNlZYAlA5B/4rM2A/D8VhdnYCMPGqb5L4tRjoSk48blffnx+7mEQ/eQFnejx
hQZ+d7/K7/jp8y0AK7h4As632UgulvQyX+J+8Y34Vnn1TywI4iD3KkakMByhk2ikKPrt2fTTF+Ax
Qwp28djloMHy/Hp/dcEsXTL2uhscdLfVw95OdmqbjWDDinXZAS5Izg7cXu/z258vLvDv3QwfJiYV
kPAD5TD704aQzZNNNlK03KYsLutH3x9wDYs7NwRZ4Eu3WndyTdKrfjHIzcv6i5qTdTTAgZQalDF3
cd2ZY43WWlTtLVEXcTM8eHZdLc9B0abrtWrbl5lRWZ97oxX9c/pC4oyltvckNFMBujbpwGmp8zDo
XfdkN4AznVqzEGuz4gXQSRErPF3QgjGEAkmIjUaLrQUOGWTg6hP9W8G9ePu2XtZwGEIzsG02AzAC
sde9fqwhfKcZ94j0tg9GrEZ2kLqTzNuRU9dmhFmX2eig55JhJM4CNv8ykOoyYu0ARW5wf/GQncuH
zL3mMfviW9FEuzz0TDkEbZhn6a2koyabqE3WkBJ7evvif/44Vi5aRpDvPJ3t+eLZpgl+K8G4OjeR
8PV8+aFFzkdK5V4S2n/xgT+VZmy6HKNYxMiS1AmPvfjIrgtn4aLR3Cgxk/QamCPkqRh0TKLBI4Ld
xvw2XqBEGjDqXcyXHswBwmd+IrUr1NtbHDUy8DsFkamEDyfShZxGqkfnTbwsxUfYHkDeJcqQqJEn
Zx36HL0u70r3xBGOFkS1hIvom9RSossu7zGEletEHNIwIBVkI7hKKZmSmjnDKBQDXlKIln0fRy3A
jD9Iwm85CdgpxSkYPLAK8fV6l8ijGUIr/IK6sRC5IsWI4OnZMxJR1v2oVtoxWXU4qA19pT25HvCP
EtntGUtNqPtWrxTHMBIthFanJayFD1HHjyoqHbCwsR7EJTF/+GR5H7rUFSA17EwB3yj/DLjOQnCl
KMfy7JKLw+bLgnFbd/JbzY763dRq7eKeu4IkjuA6bVYS0CQioOsTbi4IYydEnycnIvPtSd4sdSxS
y3GKczhnRoXWKIS6wkhtfVbdasC0Te6/AQ0SkATREeDk5j2tl46+pOeQuJrF2EurXHXm9M1A3Eyv
GYXgRjXg8IUQoZPJhmzKOyBfpEpqu7QT+12OKnTE5wRYzaaqATur/0N16ac7XD/S+askSsMmyJN+
F3G7CRQpcAFNAeSSbbiWhpBfaVKVChOhFcnhlMjuTWHWU3CLU2M3fEwJLSSbBlDbWYODLEsCYd1c
nnBm7AqacOTVRRb+JLYNOoV/YvEVilXi7XtQfrc5jnotVF/KzEb6qKAq0yJM9NEojjvXwG7UOlZ5
RhTHjn8CNuuzVHfOSoleAl4EUCMNIjr+WCWUjvS7tx6jzJ3y5aCQX0UVQEIt0E6FfYYDdsQvuAAg
st+RzJHZD62OYw/a/XXI1k9ScmQ1yJC+F4j6yG+M0zV2nqUUm4buMHwDNjHsZzqx4/BIXmtRmycM
r7Tl2bNXVKOPmBsJebKD8JrWW+ZMa4eNcboaXX7oZPNRwdLE3Qm9NK64Qq6vbCY8QFIGK6dy1+Dk
VqcVLQSPZtd6Uh1oVkNB5F8LPH3Hd56f9RoNDwnrKlFkK1cBVcAFi2snn2GnG+k7OawHd2bKZtvE
HfGwarDDHX2zq46o38UwlB3yUANkv6o1E1OF/Sg5RBIUyEgpYmBK5WBqmqmj48FM0OJ6qLEkAJhW
XkzKHMtNMQ1sj+hwnQHcMEdIAc+0DccHL7OiCUqZ8nEu55jNVl2pHGL+4qKTVMoiKcFTBlJyqmd+
4Guf8akcrWMgly7VcFLaKzlx+s2aVt8QdXWbfiiRU8x00SVLybCE6sEXhVuSlDxKXxUlpLJxDWft
IV810p/nnuoC4SPMRiYQqo6m/1AXJuzbynLGAtxYIuuyLeL6sxiNSMsRRp6V0c46k69AS5w7E0QH
2bpRYk1bwuvKPCsANWc5FITE5kUlzyqhWwujigUe01kUEdK1Ro8Ngew3RuzE905SuSuaO7lQJmXo
s4gWc+Uw7rIq1jP4tYFGFuQu0GwU2I20fZjk+20mJ621LP4nQqt5ursQFT2yZTK8DPje6ogpH82P
sb2teh13gUVeKf/kSmlu2Inht4L4xCYrdgHlKSd7xj90j5tWVqlXIxxw1+dxcMVfq11CNXilF4la
HiScqRwClLxNCRRbuDOMyxKnvjyPsI1LkvU5aDQcs6HXcQAe9qXWCt8XQwr3pQgGYzybKp3oPXH8
iuU5+Efm0iaW+WuwoVWMD9MCNR4LcoT7/L0lD/2qF1QC+fP9pY5aPSBdSmdN7KjX5H2K+guCitrm
bK+nppn8VfRhFG6SVZvHdCftmRYpPkKlR9fh3qLMoEOi9LO9XFdqVFNsWoNoe2pH2I+OXtFa70WD
jTqdLtIftdQvo2hcRJkgfzKkvccsP13WbpBYxMFBEaAykgoZRxkLqtiMh5LBRxaVYLF4MpWDE2dh
3Keav+h3DZIr+js1upwvLakq8eeIjiaW30AM2vc8RQ8mo79yKVJVnbAawhsbogLPpRmAdNMpU9xK
Cew2R0asJWNXAtpCGvEvBPAACYZRUGbWSXNhG1ZIBDY9cGdvxkJ2PYlWGei0nft7IjjCqDy4QI1D
dxx0nXTYYy8N6+WwDawtGE9VAmq7J8GXFeA6acwBziHB5WsZ7KMGEUC8RxptaespRxLAQJA6SrUg
q8JRDXSpODKyRdQWqimIwRHaZnVCVM5Gir4RaKTs4XEmHdlUjTvIokoRi0zTEhwXXE2EgJisIbHq
SH8spzQdCi1C5cU6C9V/YMCsnRvPH3qanj2umTKso5V02NDkNIcrooElHXmNm+JNER6Uh7et3pH6
kHfEGU2gsIVUWCtCkrS8QjMopF46WwHfqqMxylyQ+5FUoGmbC1ksVydZPLWyPFTeRardGMnmrnRn
lO1GNTyltFRaJriyIJUgTycrWxjOLnHuY4wAF14nNBjuJIs8mNF1iq0NEz3RfBFTK0ezci1I5ZxL
BZVaWISNFizStoOw5F37fdlUCbKo0LVfCvmwq83BqE+J6SNaL4bY9s5yddFftsYo6saPYTSWTkUW
gUigy31PcJA4Aogut6SRaOmmVXZkHxSEpshhr+GwYeL0ZlNN71Xjd+kcjGBPSUjuC5pL6Q9IJ10U
1alkahmUFzz/psOhonrSp8QyoDpJZz1XunjJm6TmGAT9tR0Ovp+suXutwAotmvrM2Eco32J316Tj
BjazS2YI8UYWI2RIOt1DWsOSSWfljiCw8TmYN+y8Jcrx81Nf+ofOf9bEWDTYkhk56iar6CF26Kqx
94LjFM8PneSt4FqP7c+RQ8hc1QcbgXOX/vvt490lRhH4pkciA/0xxydg9RKkWx13rpKozG+KvIYG
rgxalSvNIntmymvm/+mDLUiPiEfo0dHjoE12CcXlmdU3frXGN2keN/7LwknBQ05QEwlKNGKjzUV5
LHFZYJl/+4M32OdvsAzwOAda36ZDR3+FEImLqBJN862Wd4+vymmpffsaULJ3o5uA0FPI4vTVB88/
I0RuDcgb6xB3ebm3k8UiXtVlT23Nu2xz2+v1wke+iGnBMNVPb3/JSyYs9FccqQyOD3if6D9n8C5Q
LDyvHq2zYqhJDtys8svbVMCluj/XuXZCUFXHXoprne/5H+Z+rOv6XOUzDLqdieWB9qGtEq2K9jC1
YDXvCoaBVRxtGRzfxEWeI49Kcq2ED+u02BrvYipVKz4WGFYD2svZ4myI+naZ/+vb/L+j75XS9XT/
+i9+/lbV+L1EcX/x478+VgX//Zd4zV9/8/oV/7pPvrVVh+Pom391/l49fC2+d5d/9Oqd+XT17Q5f
+6+vfjiWItj+3fC9Xd5/R4fRb9+C6xB/+T/95T++b+/ycam///7bN7KYe/FuUVKVv6lfXf/5+28u
sM5f8ifx9up34vv//tuhKpIy+fa1/Mf77/XwkiffLl/7/WvX//6b5vr/tAhGtgHBwGd80wcJxA5c
/Moz/6nrQL80pOhoEkbKxC+rto9//80I/klADxocDGHpU8OV+O0fXUUiCb/y/ml7tOHowIFbGnQm
f/txE149zP9+uP8oh+KpSsq++/0307tsIIK5MoxFa4+UMyjuAqn8G/hdayh34bJOR6d3fO82HVp9
OVW9O2PqneXpR/je8LkxN5mi8xp26XjqvL5tILc1+W1n6BjXkVEZVTes+gt/GOjjmbDLHhboECdf
18GMLIJNKuvPGmAJ1Z09rIguanv4VKaua+69KSSV1uwjLcW6Eaj9/7B3Zst1Ymu2fpX9AjiY9Fwe
WI201Le2fEPIHTDp+wlPXx+2M7e00mUdn7qpqjh7R9hpZ0oLwWQ2/z/GN04thVOOnmDrPaSlwEun
45ibQ8B2/RykJSQp0JyyKcLSnbUOZH7nZRekJHd4cMZpBQcMbgR5VVpggruKynoI6cq8zCChPgpH
EtEmBo90Q1EoLQnbBSTuNmKn99UfYNPWSLTVfUuNoDihYWWqTU2u0njJazjEAOe7ugk10Kqf4NVG
X2QJ8xSwS29Ym9GY+ruOZcW5KAUcLfpe1XAxUbUYDrJfjDmYURPCkGVyA6Ja0unedRMu4KAgu48g
g7g32l3P6lhcMl57pjp/iO8KSXbTicBwsBeuIr95Dfa+Hu0lJviiX+SzUCUBnujE4C60Vqm6LXM6
sWqmE0ESn9CbTptK9UPyMelL/UqLHLiw6UJ0d4ixoBgvp5mQhn2HPPB9xw6hUzgJejFutdRr/JMG
nvW9QXCRFY6pX5ybaYIvBRNNcRG5o/48uZ68ciHMf8rK2OqCiPqfjlJgQFYtYmmJYB5meZVbfv9Y
Nz4OXrMGCwqedI0JphJoflpQvyJw5Sz6AJJ7Ak/qRvjnhNMO6Q5mCgEUUls0sHFVZ4xhWxv1skOR
Z7s36O/hCnfjMtr7BdWtebCsJAGnmIHvR7CKQyBobNHdajLH7QInO7qo7bE3Nlbdul+9vF7ySwsd
wm2PW9E7l9ZoOCf1YGJYXiw4l6GvoqzYeAUk811OskxxVtFjnk45m7VNOBqzMW3wDXdIuHsFyTXv
4zllf9rgJRVj41s7vSFTbDMUpHVv8Ofk0R4YjXVhOQUWQxAZC89NYxHeKyQjxS5LZwr6Cd77204k
dMuRgk+fRcHWK3CYcqwg1pNkPEdA1TxJA3zIBkZEhHmuT2rQ3Ebr2Uhbx+V0sDo2tgPMBRd4D9SK
TS9KciEGVTb+hmp8dRdNC/7fptRin/JfJepgzmmfPw022edb4cyyDGyVae/7rk0oc6Glf0SsOU2b
tHDtRzJA9ff+iC8vqDIDo5aIQUTwagEHIB/ADZBsNZ991NCEgkgdgkEp07nhHRg/uTQCrjWlsJfP
48zWm3SD4ltbQPEM58wgTCBGJHI39cVXXPbtsFfOMqsQCzoZFKPvyb1IhbVhEm2LMCfBJaOuG3ef
+1H3+nDKF++8jn0Q6ZVseG3cJFX3cLXsS+rdHF9nlMFiQwOu2NEZMCGLx7PbbLuqjk8L8k/QBfe9
gY63VwNewTrTyMSWWl1t4BD4HOJIpKlDardktGATBV7tW3kLsmBYupXLkKMz0EdRhxrEZodh5Dsj
puFUqWAhhtk8M2Jb3zSFrn8GojI8E0blLMivE6qJnpVbVjCjqBR7lbrygRS/sguN0hZ3NoOwvqQQ
k5ZbPbaH97qzmF0Q95xZyH+AdgTeyLRrOJgM3WCyqPTyDal2BSmPAJRYHMef4iixLnSKReD7Box9
zJ2ZX4Qx+ehN4KFfj3dI0Y1q5w1mJvcvVsuf69DLdeefq45Jy9E3cBLRgGQL9XrVAZkKAdPup220
1GIbGZEfiLZYNr//lKPIO0RELJ4WJyV7lcfQ4jtSxxgtSMVOtdNW0aPqA8aQ5oR6z8swDIukAk6p
yDFk9JGC6xqvXHrDxqIlsvv9dRx1hLgMdu+mw7EU3qrhOUfb2QQO4NQ4ZrN1qkIciLUdn+xadg+A
4y02Fn9vQ35xY486b3wUjSA6qhQYSRiGY/D6xpZl5FPVTettXpErwJFM2ag3BS2gAPaFJ87bJvf9
TUIdG4O0zv/DTpIKt/1+GX+0a/y/2xJejV+pY7Vf/3XxXHf/YtH78tyzFfsfsEP02Sr9/Wj+sUPc
t1/L5y/PL7eF6xf8tS0U78xV08SwdNjhOWsD+Oe20BHvEENiR2M3hjJBd2me/rUtNN7R6LWM1XdL
ciTKvX9vC8W7VZK1Nl0t4i1pPP7JtvB4wPrGKr8jJ50Wj2Fw/Hs9imYScdfepdyYUpMhFC48IogV
8ZD37hvv6He9zIuzHocnPkdnk8wPjdlOP/osQfgjUZidpM7saxf5QJBBFFnOBiDYRyNLmPOyPNkm
ythBgqmv89TM4WLM9cabWQ4tG7xG1jf7aViSM4Nwnq1TLN1ujrVhPxUVeeqVZM1tyckwcNuUXsaJ
cbGs0MyJRnJw6hFiVi3sH3vz5sUD/8W7eKQUWn8yy3GQdtADZ+tvre/qi621W7J6ZREfjyk13/Wc
AELOq9WW1QNtssb8ng++w/m1sN+YcI6n1x+fTNFgHWIOCofXn8zmfez9qJQbIUrSFTG6bRad7Knf
/3xH0bIIoOjyk/LorrJA/mk927z8AVF9CeSxAMMnW44t6m29xtGSwPjySzdiiSdPxZCYEkLS+aLP
PfyGp7le3mMonF2QJppz52rLwWWt3xPf07c4SSrzW0Lf6Ub5Sw/JwJqo+6RjFfsBdAZ5pjwhP8oW
yApFk6oNisoxz4hR6U+HyVY/hAP/fxZ7cc5dY6//81ksrDpOvrecdF9OZOvX/JzIPKYkxwL3wVLr
kjNqMgZ+TmSe+05fR8g6veEU5b3+axoT7/gC0M6IbzDXfhc+/zzd2u8sAmO81XGLIgjNxp/MYsdl
JFZ9w6ahhoqYPFJUTkyXL8enViyDTopmtpsqjsGBp4/9FndMe9B6Ok2gJmYUikluXLas2lsN3SXm
NEsLzEJWnzJIyG9U8o5l15jQbIQoTNKYpw3dOp5Xl9gndwkfxHZmHN8nnWeetg6AvETU03U5jLQO
nNQ/rww7D5tZj96XLBE3Zdou9y+e4i+mJkesU8DLaRfoNKw1bo3nGtxy/WhycqoGF1/TG1viUIdg
8QqYeWrEVj/H4gxZ9BcS7FSo2lbF4A5ndqGq6s48NH/bAfD8+QLu7tqOmhKSt2l+QKxr7xvOtbsl
Xc97JVCipO9zDgmFf9GDkNohu9Bp/+u3jd1/jowOQSetjXMLxNBF1BbJZdXN+gHmcx92pomBumrT
9roblHbrJlV5aXDcOPMJOQsi/N4yyGEnfzPJptwX2RCdUdwtL6hnumE15GdQVbv9pC+UIQAa7CfT
+lz0TERjlX3kQswTDTr8lxGicqgg7oZ1Z6HuduNbK8/PlB9bjzn2711qFuo5E8C4VHKZ55wqGt38
7GrZkyP1yympHybksTvIorAGy/SCzmX+AZsfYd61SG4ARNBqVNxgvxP2eavHZqATIL+dura7WBp7
2ZDTqnbsPruHcirRzfplh2mITiaZB+apPy8KTr4F2qA06iyglXXlk0X72evHdGtDHR2CWX4uGuqM
wexp+lU0aNPNJGhwBWRoJktg6PPXconjYCqIZwlINTTAi9gdPmB6xNYzrbg0PzB0zzWRpNEJ2I0w
m5ZzGrsn3ajpoTY+1rb+wQHEFEDwAGuBQC7QnOKTNrcHQI7f0HN+rJqk34KdSwJf9vpJTJpZAAWg
PZN655zMg1dusMh/JthabnxhN4FfTaf1rOYAwXB/AV6r3w92WgfjbBFNDERRl37yYKQehzqr1zZy
yREELwDKKvOT9KNdx2H5NAHstEl7rQkm08jvXT91gO805wnOrBOtnr/IIna2+MmtQE1au8dprIet
k3wVsj4h6e5D1i1Un2TUn1DlwIRGPt9JlNl3tHcp6+TNiYuEbkXisE+Y3CtzqQig0zBsn3KOwMep
6ttoaGndwCkJzarVrwE8zQqqRuRToXCs6ziK55N5GfwHjgk80obkr6XWtZT+R5QeIrxOV5WTqevU
7Msi9NA2naH6c67LvFzP+FO7juQWPTPlf9sOsc1r+Qb6+pKFfjclZxWzySZFurEpyzrOcWLNz4Bq
shutcfYanLskWNDouxddXJliOwG4jc4cHw/jVTU6E5WygqpCGnT075YAnrGvCA+iNknMQ6PEjV7Z
ajlpiQ6odq4Ns2yPADqXsDizqynaKTvOPpRLdYpA6h62NazbkY5WHw1ROK+qsGyZOiQ6wK2UndQH
jI/27SwXKh/ECe6MxoDCoqG2RUtmPOfIJZ+Z8LLr1iafmCRIVz8ddddKkI/P9sfCirSvOkWRGx/M
zD0u8vICWGk/sGt0my9aBaQIJVaz0wibCeB3jUGLxOeiX7F5IHngVE9dhN9Yr06jKEVolvfL3pzy
YghthZHC8+XyfsbvHEBw6h7m1PH3ng94T3TTCWw/91vWs3xsdDF1T1U5NndJ2VHpASfgnGGdJuON
M+106csx2Y9ELmYoLetxk9ogM0udAEWFYz4kgbs/aY0WYIHnqOy2ZIQxpzFcrwtl948JIPA8WNbg
FBrlmjxFxBxljwuQdu9eAs3wKBZ5BEkEXmK39VcKVZz1y1mK6DK1LLnz2UDz0b10tiZjM2d+qu2L
utQp89CNcx7dShf3hA+dw0210A1F5bVnT20bELwAWDqzxIfZWLZpg+QLwWA7fJ5yMYTAgkyiJSgp
TtAiAkv0476q/dpkxZLTRip72sqhEyElPuvUrF067OVAbnoDXGnX+JE6DJG5lCROD+Ie5BeVo2bs
5i7QaN3PJKbhJkcQ9tFUkV+G7ewtzBNldN5kbv7geQTzYNSjYgEhTsrPs2vfpS05aOAUPXVdIrm/
Zsioa5d873Pg1Em9aim0dtt1tbj3cSvek4Wlrn0vt0+nqMPFOjJh6NC6A6KNh7vEa6cTDtfFXQyw
/c5wtGve94k4tghoPNZHyI3IJS9i2yUTu9PENmbODSeZ5ydpQTJ0Lsv42eb8vYeQywAfl+IWk9K4
MRuTaFDKkN65T9R1PZlUQU3ycu/bpTGJ4RXmEEICE/1dqtFq7MUc77AEyzWIt3cypj6v1bE1WvWF
i3L6fc08pAJnqOTFyC0OgVwByywpN903fRGTXjqk0S3/xPmoTYoQH7p/PlHJuqGhturN0B6F/tQ6
iN0StF15r7UEhzWlt42berkCfIhqF4DYXiBzybcOtctbjSOFAVPzwa4gQZ3Yc8U0MKr+vpjdcwXy
bccg1OnSehWv/oiNPxcR78s4VWOoTcNwP7cyu45lu9yUY2WSJ2zq+4J4wvNC1NpjVxNOqBn6Xoss
6LVtZB/EtExgXrLmKV9IIETpYz7BfJxCfZD+SYUojMkhKe87YoWfQOo5F0mh19ezl4+XEg7Jzomt
Yc+07HNPee9iz3N2M8sG7TfXHI3Q4tqDWQwXhDSbzFqp/IAgJLsdEvaEoI3bLQ3o6GzJvP4O6G0u
QwdFBloBMIinCbzNmQjFYQr9xO3IcQJA8uR3yjuPpuZeL2X9nFoD41C5JPyWg/eMsoKlTpNVcj1m
bFI3kdU1O0Vo7MlM7MyDQ+t94T81nBuzbQYws/lcvIdLJyAf5IV9sBNN2+DNjcIFFwZrv9N77Qbz
HG+TNybtgQDYEjFTZ3ZrGmS8yXpn27httrM0GV23i+XtptruOJmZ5Y2v5/WFTkHiS5Ihutp8fwfR
/zBYktJZ2QV2GaCNXE4kyxUcykFuvHjWoZE2eWg2Qm2ATecHlfr10/cJIk7T4Zzon+hpySdvgwQ7
uqwFBi92cDpvGqHU6SlpCQkRAZpZbbHV604gR0uPD8tkDpQmq9y4RyHlbTrM7vc5QoI0pYwJFnbj
S8/s76Im77+k48hU4BAbvOfhqOtFIWCEmjo7HTuRxLVORs3hXfsuEym8lgGv+kihuY3Y1TkEgl1/
X5YbA1JpMHaN/w2qCpnAldd9KWntDkhyIQzdI/nk3goio8hibAmV3UBsGqOAmIWoDBeUKmpXxPF8
3Xa9t6HUNn2g1+CF+hhH10nhwAMb1s29bfb1k1kt3QWlurEPrcZS19//kp0GA1LaJr86UW2avC1T
/YQ5tx0hkdoevApp8wNU1sz85jfsFhJVO58Tu8i+OUQcnKocI3VIX8E69YoYUNykhLrWNad+8rK5
/tBNoC2gB6P9pLjt8K+csX6al1G/Htn572vV8OEpQL+wHxpfIPtiHboD/DudtRWI1a2lMzHF88Df
etYQX/uy7X7c/pg+15VlNz+OKn90CP+vNKDXD/q7a/3fo7dMse8/P3L/H7rT8fD8r+fyy7+C5/bT
8LqIyNf+u4bIIdqlrkw/2LEdgxP2v2uIPlY3bE2OTlzKd+nGX4dv9x3dG5Y5nEUWNj2TqtVfrWXn
HYdC3OmC74V7ATvQn7SW11LzyxOmh3uLmgC0MA+ryz/tzUZdEgfezhucD+5dynt5wGw0k8xeLfon
s/YNOMdjBq1AXydejqAg4qe5sYA3JC7oYr+5YbcZsZIs1nsasR1doV5RFUpJT/uUGVG+jxaNyGBX
ld7li3v+iwPy2mF/ffUwTHWkN6QbrB6W70f5F8U7TWeNJwdnorNmz88Trcq7zLE5AlGYqgJav+2j
GBNYTFgismAmQduBgjvrk8HpxdetU87CfsqexhNViMvIsoNBy8yHOBHkWugujH1vvh56c/oABG+2
g2YxtesR5ObOZQ+7dVzSkANZaOWHJd7QtY3zsiV+gQDRG0fK5DwyyozzYZtDmy4gFgX9nDX0cPXR
eKPOt1ZgXz1IboXApG/wFPHPWuutenErxGCNBNdUakM3JwrrPgEwTIZR6Ne684ZxaK3IHH+UwbgF
XAtNlhrQ648CTsh+ssjUhtNmu83LWj908N9Cwx8Jm6ANuo+H8ub7o/6jCeZ/fa/CfDH8f9Wr+Frm
TDgvi3w+X/JzphHiHUoT+g4eLSVq9Wuh7d8iFgp5eI7ocf2Yhv4u83nmOyYgd6WI6jbTwKpv+avM
579j3AuEJ3TEmCTsP5lojlpeBi0UFGLr97EYo+LY3lURn8FkKCfy7odmgLbrqRUm3Q8pMYqUmUzO
23ORVhrHwW7yotOJCNHmkTSCon5j1jiuqnEtlPdczLRCx9lNLsfr8evatuxWiORFY8Q0FrfgTBLs
yH06aQ99QVoHruGqi6mY9xJa1j4GdCXfpwi67mFz44XxGf2kDng4b/b+mJreTaeV6XL64vH+Ynb7
xy0DL01zAssjkEIESEf+vFHpyCtsM79gm53HwYrEVRcKBPn0vrLKdN4UIo0lZwaDnvEonKTddBhF
qh/19VfSspdd4F9dBh0wnhwHUG7Y0d0y52YtXeT5RYHhs/zUmuOY7BC+cd5BQl+5O7AoyqGxUMa1
TyFpzPtDDNnN+/T723HcJ6bxBN3Ao1i8zvZcy9H9iDglE7Ey+YcCp30iDk7VZz1SwqHw9bMagJFx
36dohAMHuKkRkISR1afScCLyDkt9Pv/zy/EYR0hnHQPuzbGdT/k2wRjSdA+rb6O8GWIzmSncFRAS
ycf2u9LaIRTPYmQ6xHZ6CsqqpXVwvDLYXTdVJ8355M8uiW0GAAnLpKRKT5mDwNGj0myJOTWl2hP5
oCWawEWajFofjXsWz9uiE6WWo59oxvXfobEm3oAjK1a6ncXpvGQGb9u+j95Ymdbn8mK5wDwLPwWg
DnsZXjnmqNevW22b6TxUxrgretlnOw0LQX3QxBKTbp/EziVuELPgVJ9o3r7xhjJ+60kdLY1cgO9D
T6G9j6GXN+rotsBSm1yk9e1OaI3oL3Am5EZQzLP9xTImPb9ITNn1121KPkZATA1lnTir9aArc2mf
9oUYpvO4K9J6jzU5n+Um19XyxFlCLW8srEfbGdNjN8cmg0kcm7nJzub1nXI9kma6aO6h2iEg2oku
M0A2NUnXXZRFn9+VKFnVnw4aDwMsikfmQZeR8w97eZ+bak2OHHYDOz7vctSX1HmIZKbZV1bSTcuO
G1DFd6M3WNRZW/iDF01royAjQD6y3trGHA0WAo85d5sOehOfG8Bi8foW5OacTgqc8OngdHkFMzFu
2ngv+9gu4qCLpVtjefoRFoUOsJDf7B6oVPbGkDVYRl+OWYMBi+jTB/sB2hbZ5dGQ6XFgtIYultNo
9jEWfHRbs0vbc1vvgDDBpdfSOqZoT4xRSgCgXKooTCy/TlY1kEsadJANmGe+6Sg79LCcqYHN4aRp
VWWEoxYnvI2Ggh94Fveu5jwnSnndFj2YoLRGq6LJngtpruAM39eq7DkaLX7thzrm0PrGnHE0vTPm
mE5hJvs2LFh87kf7RkzqaPDMvNsBPPSvvGoYxXaArl+cLoUSLH5ACm+cemnbk4LksdDx5XBTcJ50
wsRzl6epyCLnq0/Y3IXRAabdWk4ushCWumkFcLZNFY7CtcvQjCnl/NnatF487HPkOj6gGHQVR71D
wTlk8quu3WWYLsebbFLSjWicKBMfpeqNxwVxlroa6yWtvk1jW1E9zDz76xv3cJ3BXs5wXAazLTMM
mhCPp3R0GVZvkWvDvLpLSeo7qMwUNwOdDi8kCoEMKYIJJldsc7r09TleWhmf2RY2tg3CL6X2RUMN
7Rt+nw4WyxtXdjz1cWW0/Kk6G7ptsTwczb0rP0savlPvaMGMw6HupskN4xwmwYb4UpS+mt3P5j5v
knIgazIZmk1vg6rb5dLK3XsLABytxQIlx12Ouda+UmChsitmkqJ7A+D9/VqO7iILBHgftpsuDrKj
ax3aOZ/d3ht2decWD7074Iac83ZsgwSdbnYohBjAboIkoRUaTTbK2VnEJ0Y9NOK9O5sEOBeRWQBP
BWG0w+CS7NxJDGobR6IILatZSpKeJJFkfbS4VPecVB1UUY+3k6s3/rZJvYHAMeLODillOYu0GuJc
5YUPU6Oj4K7i5s41iYQKnNriE9yy4quENJeexvzftYRf7PzW8XJ0JzwEcfyPX3gp10nyxVkuZv/S
1h55Wkosc3qjd8AjKfu2jX1t8vAaLPF2er7GKj/8P3wwRQD0MAxpWFKvP7j3qrgYR5M0CxDO08a3
u2Zv+06c7PSibIYDyD/glXmH5PLq95/8i2nIA3G2FiFsmwbwOpBf/MguQRuRsbAKFcliK9TUtvve
V23xdaEN4j+5sxsbG4S7mdgUbH2WEK0pOt3fX8Qv7vt3tSOoEzhdHKReX0Rl5rGleVO/y1O96XbN
oGilaLaQBMLYIp5uakApG4yKcfzGyv+rT16lgOvKr3Pvj9Yb0ah68ry636GVHBzCe6Ii+tbxTodp
NzkxWZ2eQJRUY55+a/1fT+tHg40DHiRlZCE6JPWjBQAs8lCq2Sdn0x4KfRM7nVrPP8I/tDUgJ1/X
pNgs4AqrXSxcyjn0m50yZHMSdWcE7XBz/vwpIAb1OZihzKIu9fopSKS9uIqmjnmgKu1zbNr119wr
/HN6kFr9dWyVc1g8hYLp9597tPVgMeGE6oM4xAaCw+d4JVzoutWwLbudTXAh/QvqVfdo2Lv7qW7o
XWRTU+dhS7rsEsQYiuX29x9/fCz9/vlI0BDZMQzYvx+99eki0tZY6m6X0ZDFIBGXzbgdMzd1N5ak
jSz0TEd0LI2aZO/Gs7WrSgFERESxTAeTeehq7AnepWrftB1JoN3o7H5/if8cpevtgXUApsXjt6Mr
HFpvgN2bcIVpOqtNljne/IF2h3ZKD0F0HzTSHFMMgMjMfv/Bv7o3HNVh56FFYh9/LM61CnrJyCza
XW3SrBniPpk3kpcpCh2cfmgNMVS8z/wehbUrc+cMyV557ojYuNELZxli2kaY1s/tKkueDaQx3huL
1/HhdH146xaaK+N8sVYjXw9aSMPoFaeo2fXk7X7G9CXRyc2gWrYzrB8nhFcnn1Ie/K05C3max145
hjSIl+aNW/XPidRfz34AsqgAMYUfXYjR06ms66LdIWNKNMZy4aVtkFeGdlqS3phu5snWIZg0spvq
Q2xEyZZApti8feOJHe2g1xuyOqrWPfw6Wo6nFb+Ws934GsklTrUUmyYbzGUrxzySweQXo7ehUDh+
qpqpcANNH6Mn2DBatJvzvLzIlLvIPWO+fJgKUjrfmvLWe/B6yvPXsjqWAxfpJSfT1w8rqYoBoMTS
7NiNOOY2Gb38XNPn9rLR9fiMrQWpdL0sH7TKQ8Jqgzgzglja5V5UU/G1TZs5fWPOOwbWmdDqKKRC
NWAnblGOO7okpY9VrSA37oiQNttg6iropn5n5RukezH6U+VZ+yF30k/elKsLIoPpvzqOztGnxF7o
sYXruX0jk3MTVgowTwDhed72iJ2A5hSFvhsGw4/euu5/rB4slI77/UkjLuX4+vpWGlALJOtBvrMm
hziejVtMRfowiIGEU+bS2b3tlarVl96My+y5naSXXJcm1OwnOxN0tw3M7rg83hh8/7wq9uEAnkDI
8lKax6UzPO61ZjpFuuv0qnK1QHX5wKFMMxovvaIl4TmHgeaYxuo+sy98zKvFHW+XaSD0Y+sW1SL7
nbIsMvl+f2HfbcCvRh4FVVZaMMM8bZIWj9Y2Gvh0gi092mJfa6FEm5ygqXya8ZhNWaDckeDWygCJ
PwUjQJHsmeb/RLXmB5BoqOkhPku95jQoMz275OuUfVKL3u7P63SarMNMa6C1g0hTUp1Yfif1L47j
NXxU03lrovfvf6B/rAho5qjpsGCuTSTeptePf178lOKt7m8Xj2+/q9JBr860vsRXlHlTmyINov2t
wsFFRXT2+8/Gxvv6PYaDthpGLGYZwdBj9X796ZHRKpPJRO5nJFDSv1LoxLhZ/qQpfpOcsSotVERX
jepjao6WO55mLAdNFcyLLK+cZnL6p+n7eVuapAl8S6xxYpyIIVkBCEOaV8oLNV3FujzRCWJUwx4z
wKDVJ0bG3P2oSlXJb6aL1us+1qvFfpIN63EUUCV17jordqTHBeAs80JRcBSL7gqY+djwf+R6mzOf
UG38LF/xXd2CYs7fomttUQI5GSjwHFldK7U+hOS+kmsRy+tNvcNliENkj7Ai48vnGfC3h/YuWz8a
uFXKn7yyiTqyrF1/HUyCcxVkitTP16EDMp8KBFCmtZ6gpBVTaDEJHYTUEGOdYrBQwS8ddQsF1pmw
Vnb6OH8cim7u34sKnn15sByKeUziY8mft8gCoBGTRa1pUoUx7DPigpjJUfBPidHwYxRNaa6Hy0TL
OnpvWcSd2wwjOrs8rDGHOpct7LH17zjeCfvEQ5HaLaeIChc33rncbJVfaYXjTOaN5pMapu9/4t1r
x4oiwuU0y67t9fmknOzOJuBDZXuti5Hd8+XPq00bBpLYLYtyqXlKNdh2Ejicu4mzXej7L4/RTGnL
DSHnCg0QAll5vJ1RWyHRPzCMcqKuydykPmOn/thpkMQMjqa7GHJMPBwEGhMGXkJFiVuvTIJ3/O3P
DJbEUMvAib/t+YnHBOTHIyWDjjc8c2r5zY9/xAP9fPeribDvMMNpxy2JymZ9gX/+qUIIwA1ySXn+
TmJp/OrRiI3cvvU6EqUfgdW0/SWRrPE3h9ZA95B7y4S2ZSSc77wWqhiApyNXiXC1iSWxBgIn/IRn
OWTa+qEqAfWCWCMq3WersRvtRhCWx4+lmnl9Wu2QMZOLvNTtB2c1Me7qdB6nzUD++/BIhrHkkvMf
V55Y1L6eaZUieQvQE7HluKmNScv8fa/poovwCywY3jdCuR5vRV/p6zxt9TGFo8Dz4sa59P2FnLhT
A8UjFWpwUPTGD7pV+n1+YVR+ZGJytduOpGsM+NXZ3BMNlAYEU0zdNQTD0Sm3aar3nh6gfVjUeUNq
kUfEa8VcgZ/Ft7VxH7dwmWkYAxLwYeWXrCz30wyV45HAEmy0aV8xAwUdqdD4Al1jqcyPSwXxow8l
7xKbXgUoKVtCWWOyHA4clvgZd26TVrxaOqev8Rb1TswcX9oN7I4a/Af3GqAT4wAR+vqfWQ2Dh0rN
6gqurz2RLgzBHCAnfykswi3NbeoQS61dIr+s0tuFfHnuUloi0UfyE/cMNhd9NW8xqJH1t2xUJbez
0/xMfvvxlpn9uH6RxeGZ99ZYEECmd4s5CQ3rZVvW2fNQEI9HXEiSzrwrTDHrQ0+tqF2ntQqw2DfZ
Qr7/ILSobU58XDrjx5GpDxtJgm7fP5H0uaPbcoSZcPIT/JOjgTO+6rCm0RQjdFrfC2XXzJ0xRVhi
jlOUTyi86mJcV7sp9sDiDJIa4o1P9ED6WBuDnu1FQ5HeCwB7Q70JLLOa5R0z4Ojfitkk15TqvbmQ
5Iok1ajOo4YzUBP+fE6LXdOOWVOtVkJ6oUYW/B8/MGnGrj8Gdiom/2KY+4b+X27Vw2cXTdbwvs3i
1MWOaU40BomuLrE8e01VL+VWTPVQby3M0NoXIgYb7UIQIJCVO9qGXnvTd34uTxz03wkBq9pQEXg9
LNpZ1g/xmGy8XJrFCWCX2r9sKbvSy4qirJfbNte0CaV/nUbxoxW3K2OPhBUKtT9fCROW1t/1YO5f
aWiEDRqxeiDfh5z7YEnatso2xtyu79HUD8t81qCB4g9RFa/1chJt1qXSGz0xn/XEwGTPWJ/WYajK
obFP46yz53EXRVrh3/aN1fGllK0Vz5SuyNpHmiZy4KA42n2FESIqKRkPTCxL71BKdpvq3MQqkZ4z
YMsGnUUrRCBETuWmY5h43oEEMo8XmjB2ur5h4qTrHFd3PULjrclahHSu9K0OyNLPhY3NBeaHfVKb
XdxRpmxFcp2jp50+LVh5uUc/90qWiNbp+udajgxwtRGX2rS+R8k8m3x/3v21uv5z+ZVJtW4Ufi4S
RmSDtA1bYa3bpR8bL9KP1vVqLM2GL3N7Z53EiwFOREQmmVjXYolPlDeqnLp1/STCN+Vx5bip1ltl
ueur/3PVq0wjjYaQ/m6UGn/1ORwNwHe1cR3V+hqm58lwQ527jrPA/tGUy8vp+3fujXVB90mU51ui
xV0bfaXnadxLmetsYvpiQhdP8EfOc0JGL3llbSdJuvgWt8qStw9Sixo8tpOeVc0uEVVWMzsDj+Ct
bEioZ7a1fuxL6Y+vkUdg4vxy3nS8g555kBF/rs76vmmZIJRmVXyBS8uANUTvbZqMoR6hYmdW/8FZ
zNxiHTfsa9ZXDzutoxHdi21wnYF+fIKb6aVlb9yZooO+LdL/YO68luRIkiz7K/sDvuKcvKzIRkQy
kAQKtBsvLkA3yjnn9vV7NMwwg8xayZKReZmXyspEhLu5uZmakqv31nKABllTVTYk5/TrExmGnRxP
zRCEw/y5ckerr7+M4yLGKkkRtym/5S6yxBUgnQgGlf68wITawecaqGNDd2pp3HjENq6zLHOvc0Qa
bYIYknXReXDvOo+GqMeuEnkKPOqaiUTtLPTvexsyYOe9O9Tw/35X7eCNzjv4RiumoivWwLbodt8s
rg7yeLbx/YDoOet1pto8kvvndUopqbBCUXc2boFTVMX8o0dWbvl8WJ7HZvTTnGaAvawJSc9+M4sZ
hpa1kEH3vviEniAk5nOY+3CmPRZlzrFfLB0ioPczpIe8DuN7FO7Y8fmBDj0eskHrOus+buMQrh/G
eED+5dWaIJx9Yq3IBWnwgYTydbAsHZsINIG141rRFjOBr3ZPGIzOp0HR9RJZFSjbSbG4QFmcoZlL
RA3OLrJwPaLfxWMA0TufPPKpYYtYUERwGacrkPy4dF45jOvbTq9nRGTl1WWJLbvIAEIgcA0Zltd4
+AFesV5vBxqCS1akPiiXwEzVln+OUz4OUJysPtRwskLkMcsabkUF/n2p3Ncw900FdMp2UdnNjeWB
YoebHwKuL9Fqje0/kjyNh59Rwv3Oi9Pa/nyXRLRa/MPvaxTcyZZUMaBt227Gfr134AviiZs6gKJz
9PE8LyWlnuprmduDYLObQoFxyQfSnN2pmCAIed9VSh1f0eP16PNcxlyN6wm2NnirL+vAm/He5nNF
2HGqkqADrKa6w1qXGxZ0nNef9+xANPpzo8ZmCM8H2Jllv0RVKljlYVmb/WbYKTLRPwtgBKaJqmZB
vee6AamLfK7d9t/FnK8zOPrcVelwYm4quonmNe7K/kMMKMeub0EY0+bzzk+qPV7u+hVxd4xdkQV/
0Boat/N9lUxyfzsTRsqbwerkN792ep92nKNqrJvGdZfmXQ8a2I7v92GOJ/Uqjo659ahlqpzOFjWN
tDGcB1/5g3NLbTA9OCPbsivv6bu1GVs+tFR1i1OyK4fqT+PlrTX+UoPYWN5i8UqoYD6k2ms2Jrsv
3ARYDL6NVWOJjeTISuZuu5nj8ii/T1MfQJPYpBOyfjcz4VDzsWyOHpB4UNVZcMoD6OW+Ik8Ec9pp
W+oonE9LopzmoDel3kI4JKEohATG6oPePsdRsc3x11g5rJuwSMfJBcjgFMFbN1jEXYU9XMI2Tx9y
5c45Q49HeRw8gqc/0tqZD2Hs1CiLTjxKsRKUEYBMmAwdmwZjK9fyJ5uK8dgG7N4SWha1v0/THQEM
Fm3Ckc5CwZlU1/CkTMrruVDznddL78lZ7x2kRbyTjnRduig4RkLM2lJcEhhAu/2WxG9aFo/GXFDA
bjkRFlquMBQ4funo7Gf6UYJ8fIPKuTsXH4gT09U5hZVftihgOGg4InYVrWLajwnKoYMmHiimISiO
IQ7+E3sVYdnzLXDT+Vt6hCH9YmFXXX3StJFpMfgUlHIJs7wsFoMXb0vEmQH5OE+Y9LSfQ3bd9lJo
B3zZt+tttfjlWN2HYZ8f8V0Cqmy/6Ra7Hf7wZm+ggbJYmDasBqsGVfvK5VxFEpFKtTnGYUjbsZFH
AGks86LDGGuaMmeAMTuc2ss4gdk/UyGasWy2SlhlZ5Unim95HSCue1eb5QK/lQBJO86I65GyGenL
wEa20Ethzxpt8ua8TvBnzOFqyFArJFlrWHeyhozKyRCv9trzKWaI1UC0wz3PLLto7WJUZ+2uZ2kj
4WBHtUYCCrpUAur1nqQanF0ozO5i+nE4IOLJEUfLRuBi7G7qApKk1xsq1If77bCSfVN3ARO8bxdW
SJx8tJFe6oC2QpOf/YQ3c04/JusxVPeqyC26uNbSWj2w9qyfxodhafCPc0aKwhnvSdFV8U/SBPan
oUuH/Vu+eYKDQg7VLu/8Zi36Bxfc/fGlh7pnOysIUtRd1s+e+oRrpQYLXqgk2ItXB4nmobhAhKOq
L/sAX/4/XaSQUJkG3FtYJJehrIRbxVmmkQYOiHa7D0UzqLAEJe8V8T15b4uWr0QdR3Uzd7v/3Unr
3X2w2nkof5Sz61BNUF10h7IliP1Xc63W8EHNq7V+bKjIpajnFrIvpzYrmXSabwivU7WWWUI/B/R1
Fx+IUEjMUld9cH90WCyYhprebr0Lx6SfFm8lNEvvbGi32pYcGTOH8wjAe0KIhPZCRN/yYVI/TMRl
vGzcAPF6dJJAxyuWh24hZm7JiSqzpMeBjzyC9/YSdQsAunPetxGLctKBesbzdhe9/nftQyH8Jrtq
PxTpxo3sEcujAHxZfdchdwXhC2vE+LlmS0TBKm71AOEwq9by5sH+J2mD/sewHkVEhcWX936rvLjf
jnMQLTBcn1ywVytEUW7MCrvk82rcEXGtC9jBGNlUqbF8M5MiK991bpzTgtNYdte8ilYFU+blyHYx
GYa31CJA4PYJHSZs/oq+NAlmUptQsh8qh74je3GSCnBkyhvuLiAXUvZMVSxO9id2qcZ0qf5wkptq
QECWLrVu3+pPbKlQ+Cm7Y7TpLw1AijykPtp1j7zAfnvMqi5WIRKpnrJJn4SDsiFOyvbpp5cky/QT
X2Ipf+TxMJRfCvg+WYbTeMzlj7mEFLw+zbRGTjQOR+HoL+dF2RJPFccmODPVqvb41kOtznh3muHC
nyUQkgK+9wnqYYJ1ZNp5XXa2i/3u+tWG/0knjyJq+d0IVA2EY3mqrF6mox12G0M64jHgGw1FwC/r
FI/h4+ylchLsjtvyqowNY8fFpCfyafXwcApncKrLUQVpUp6cYLTq5j20zgMvLNTn0GJ7DcOptTs/
2p5EG+kRFRKWOApfNLBcNsWlZ0v46vLrkJakE9PeVbIGKicgDRJu7hKOdwfs9gVs6ywd9w0Ep7L4
ChST8POaBY86PbmTJwmNIeyniZtR2euG805XGD1OYbCnLMzdAK9IAtcJOQ/Y5MJLpxyYdE7uklR9
cjl0DqCxWzImqIkRRFv0zh6v09ZBBu9MTx8S5XRtr/ZX1RdIAABS68PHqOhdpi2u8bE+0Wa0rJ/M
mWrTy8te9DaAnscNJNf98SP1s8FZbjzAczJptOEw1xt1ER4bl1umKc13C8ts2exy+u+g2+3PHIFy
ao6Oe8ycmp5PMvgcWW7DZNjF6Ewzfc97vbQ3e+Kl1sQXIKfbXhtYGMVY8TRIQFQMaDS5PPKweA7z
HIkRMcFitqYTIUWzwMECrKSlIzO4FMO6s4DR+w0RNqb3NcZNPo4UczJOAVTDJ0AwZMTuC7ffeC/O
TMuLkDUh+e7SC1LKjzbuGBPJvCHwW9ZQTjf/aQTAwSNkNC/j4MPYyHsvOk9+sXI6Qde3RVSszTxA
G3fNqBXVGnlvmPeuf6xn8n0/FYytNJ4Fzq4e/dzd0Myln2bb3a/XisJ/qcngv9PF9HsT0//5n0ij
SddSC7Hm7x0ENHIIJcx/wJP+0nfwKGyX/+v/Sl3zKcGI+eZv7QfotkA3QycOkDIpBZn2AyeCLQnm
EReCD4rSQHtMmxPNByF/B2EJmiCKqBT/R/NB9L9hFpHyK/X+kLI40L7/SpuTwIf+s+6GdKPgBGmL
EBxcQkHwGbK2dtAvdbYq+Ik95czL11UyPu2igLbdBGhHVN99a+Qo7qDiZ0nSoW7/GKP9muG4HpPx
MUmNxs5tTt2ANB1Gz9oFqXGnA/D96n4vSJuwPTKdzgKhT4M4GmxXDWVf208HtnQMYdY0WB7qn7jF
4MLFKP72mt7rp/sduP+MyARQJ1Maecx6BAowAdP1tDymSi+ewCsU/zbk6gibCqt+krgWjOHjDtfc
fBnzOfNzqicWAJj3m+9dM2nuKi6jIbTPIj9Noj/+ZnRS0f7tldB/QV4akT8pe3t6WfyO+EJzbpqP
Kex+kKeS5JVOjMMzPzgP/bKlcfFa5zmnbCE7CSJMso5DR+iMAS3XqqFgOkZTtZyHyMkxet3kSRxE
J0a9vgbyPNgfSPPyul4e+bMiLih2EWUFNkAVILSBwTxbTNQc2z5plcfhnpFbc+sKjWsy5Q3Y9duw
HCQRtuliSe1Rt4NDW5o5v3TH0DBMRf6PMzJH5pUkolJEaCBrJVFv4oNAOSXPOF7T9ibZMtaIVX4v
fVZq8Uj8LGnylx8reLZHqKRSOaGdgVCFHfIXMG1TJmOT5l3/bdocYqWJh+fgcp2cpJThTK8bMmHw
TLJRknTlpOdgiog0alYL9pwrs6Tz68LuazJBOCEN2KUvo7VQ4UO53OdF79KpltxVwLf/86Ud1xfV
UyMihK1DqYZLLo19EgEDKf/caeYnBxR3vE4PgmT1JUblmTnzgvLgx6Rs8c9plvamW5vSOzeajLej
Nsm+VnuGUt+l8smyz2fOb+zAqD8BUyW3jXVKtcsdGXh6fb7ey9Abgn2GJLbMhbgM6lrOgQKG51+u
bpU2Ktm1Lt9fI7AVSkmshQ56h5HK2GVXZcc5+PJLu66133eRR9kdYmKpgmPXYMt4tsfxgAYrCZsv
jU+LALLTtCBbP+F5GdC6hp6idW7GNOqK9ziAUv/o86DLbrJ4dtfuBCJzq1eA/NnwGvh3W5zLIil8
GtX1lK2Oz6TvLUXeEw53HMGLcK0gEyyI/6KjEvMnnQbcEa/BctRJiYu1XUs81Qr08B0Awqg/SEKI
KAxN9ZRl/s7g/WUFo0RDUCm9UsA4+T9Z4b+BSJFU22mUT4uvhnzeQVJtS05I161w6G8+kJ/sBliF
KGyg+znzY6lH1FzoO+n96i2CJTH6BwslfKQjqtmhMkoIA7caeTNce34jw+eilRbPi+jY0IhEKfo+
bCqpnadQD2NRq3lquU+dLQM/KKbVfC9TjStEVi2U0tX7MlxLPultTYYwktaZIeMqN28tVl+Gr92J
ntNOsMztjnCG7f8MEYyVIUtf1ekKq3i4i0/cYAxEhBS2Dh6EFHQZxT9A7k8gpIchTiBI6vQ1sR4Q
454Hmuq4tBFtlkhvD9+tiiLYeN4JxxmETzaO+4kbxx2I5m0GYdWc/FBxGomOxZaxF8sik9SUi+hk
vry4n4GiRAUbkwQZNSAeYOwgoZ++T++AXAiikeEDgjY9VP+UuUFk8yL3LZ+gNSamch55JChnXkPi
B1vp5wQSkSW7J61p+9vryp5oNHw/0VTGUxn1lb0JAvZm3LbXt1XnCfq3gMhFXbsdSsXFwq2TB3/5
cWS0v29VqCAJ57lVjBNCl8uz1bmnM8iGY5u/mNXZ1O7ijN+NxlRdtNTIHju6cHr10RvKIf3bI/cp
LIqkOq4eXcIinwkpPqN4Op+TgggHGYfwsywOTvsMhtx2pfZT1wrBnNOW2kFGHS2is259NUxLObU3
TVVYi4+0E9sinf/wqJj79vu0Xcg8vjxBdGA+nyJ6ioEKcjajdsp/ng2QEgxZDeVln0OofY70E5lt
ROpu5ykcZH95NYHJK6IFWZxERhkL3mybbYlpfqROrHaWal5ksonW1RFnYZlAM8vatnJxeJJykz2r
l3GqJuqil3BpZT9vK+QtEZlW6du4SRG4hTmqb2l5YWfFmQX4nRnayQQYfVivniuW/0RylH12uB3z
d0+nvzVHd0vfueEd5FmysYxS77GOC1duaCPla1ZRiG0ArEVJ6wINgMgIj+uOBQHwE+djdO6HRfYe
zVuiPBt7/YLRWgdUpNZX9lxKMEkKWHa+yN3xR7Osf2knF0kw/IAUbuBrqd1YheWfpj2ZGUQXtvbw
A/tFtui2ZXHwNxITudtf0hoO+stSuEi//Xvv1o5/akk0YGesxGl4F2VfiJ0fnVDmu4XKUh4LT5qR
UAMVdUtjddItHa2Pgb8Kzs/1RNQOBD2VzY+UB+q9/2cabhvX2Ek8MJyjhev0a7+hY9LfAmuZj/xG
6Tk0WrfmZrBbyUPFPiQcKH9Rf0ErWWsxNPphYMnYrI8trHHM7lj1ktiFHkPG1qgazZtz2arQ44Ag
TzwxkR2fpBa3IaIMAT3ah5Arz2LlsrmgsPYu0GYRJiu7BTBQB/UMS742p2YcSzfISkj9uHasz6sV
AL+9hCEN/95dlQPkYVlpSc0COWvGReK1k9WlJZ8RBsp4Gy/vq+ApJph9L9g8ibQwp+SjfLELv52L
UL2XmyrG6UsyVjtzxusRsR1rAEpv34RrpZj/zWhitNAgZ78+gp898pHEjeUg9Tp35KWvMYkxiFL0
0ZnksIeyUMfQCe82ypCoU0acGLxZRENDVJ7OxzLLNt7RD+UVoFHYeeGbPgwXa7pv0Souj4c4pPAy
ngO3H6LltafPQr1aOjuSja5/cTxbNkKnt4WzHgB0HssY2m0qu3qNBUVDSvqV2Zp21LRe+a9iteIx
iYURSF6os7vQRtHAPCLrUeiv785c8+RL3I/8GPV5b97nrg9gxNFjdjYFpYaL2IEllmRXg9c7MN3m
005iq1/FWmQUsngQ1XWyKdMoi7b5HOdHvYyXCjlnJtX4CS+/62tn4m+nDMcKUJorcSXBLiqKz4KT
gUI2kn6t+zmecw+f1dp9ydfE1ubwAyyBe7zWDjQNbVJaNrkoHdjSaopnTGLGwZF39kAKMtRhgKlp
j04q4vxpOCDrfCSnz6d0BrroY2/9YPI6GjSx+xFcPLjAFG+L1Saye3j5WZ8ta+iVCVfolfFtjlay
BM/i28OCc6CtjvqjiW+Bc2wICZESPvjhto3NE9NIJEskWyawEbfUH+iaugHhlnHMvzwcR06n36ce
7KDHLgPLzaBA+D7bZhtqdDl+4fjZ2icYdD8uwRiKo4GMPMpucRkRMNTxImPMFCxL66sZoMC+/Stq
cFST+DQEZUEmG3a1ZmuT1xS6CUsyGHzLivpqBC7y3Ktg2ZO/MRCC0n0ycMKHgOAFIC15GKLxp/ZB
UAXrsWbHR6OdRpfeDiHwaaanHi9kVOka1He13/mqejD6WCovF6b35Sn8ywwSfJIOsomtnYAenGeL
lyPfznsVK/QOCmub4bik24/XZpU+p/Tn/Bi7FVfk5Zs+88vITOFq4JrBc5/QOv+86U0dHSnTSvUf
c6ugEP3+EFZtWCyf6GuLmgf1NYsQnvf28gBIfDx/AYjUAwqn9c3zI5b0M79nQyVwqpqk/9jli3iB
3uxuWAg2GQK0l7W3RmBQXkoL8nyJq05MsvFmqPq1GFzzx8BfxE47VS4mubJsr3pbXEWW8jkQI+/3
gQg+Bvr65RIrjJQN7SlxARA68SOM5xA6mxgwYxvNIQdxXWbReOlHVufdoJ4rvpOo6jEnG3zgw48A
UBemfoxI5sIrnQ2zeuv4x+Lsb7MkFs8BtLI4RDPd0CArQWQGzveadhkOARNcFTpkmslH8DCWdg+M
xS/XyB1+TKMSB6jXEdAGzwGPG+aorBF+ObYcF00ViPPW7mrkMZwWtMEPc9L5YHMYo4nM9taTaA/6
OzHKNhoXzFOFUg0fGfpy4CKccGzCk7ky9GFyHzoxa04z9Grkdomei1THSCSGmIxbCMNKXg7+uPxQ
0SwRpxmR8QKeHl1o7UqEBiIZFwQeUQ6nyO3lrCFUxAC8ViCWGVenfRrjMfpeK8+jINtjfiGelUC1
147OCBMbsz0CveFQMyKQJFbkEAzjkbaq18F+5HzB1cGo5dNnPZ7N12muEicLAXQZVxxRpapPqZY0
jOJQ1iPM8Hhexn+0qR0zBpwB8SaNI2jGAOBLViUqhOKPwRlS407WfSA+CJxF10NXB5zOblncrihG
f+v/aW/jRr72VMSkoghLLEv+2ugpID0l7pOZftSl5dqETtfQ+7r+U+1km8cTXCyDiPQmAtklIpGz
qrx+phJHvMGY5qw8xvHLFpEhJQ2whFm8v1mGnLTf7YqeBRt0TBLx045ySUQUNAMbz0cTzxLH385X
2QN0xiz2cNmOcp0P6ixgF5DAhLmVxqMxBIjyCVQtAT0ybTnFZzrB4FNIk/zOps2HMeZwBjI1pJ3F
uTFK37ZeRJRAJGptl0kCIxNQRtkoC9PEQOZFwgsjjnernSh4cWQNqrUT+2ItViJKgyg0yeivLvTL
ps37i0WnNYSuUoysR08aoKynRwt6OUPjxFXwoWipz6JvOhGDzp8BoUjogv6Fg8UtYb1oVzrS031J
/5VA8DpFrzBbkkIDvUVjwH3fzdayXtrJKQr/pwnoaTAJRL40S6u4PdfhQkPD3S+5SEADTEZQWXIU
63A1HRdX3MWNIBTxWOMZrPnOiVxmuRgzgKQgjm/trN5ZZCa3YJeRvIIM3i8+udaWrEN327xi+GoV
tEpX95TM5nH+PA5owFZ/06/2l9OBE4E+WPKzdPLT/vjsdNh3sOcz/YMfUsovlhecbABgA9M21/lY
3m6xc9ALQV9yUOf5B0SPpBD48nv0n0XmpCyICWCA4B3CUoLK4dP36NArs2VhvXzYUcjiIDSiouC7
r9GXLikQYohP4HVOKjpBoHaYNZiKRHN9p+OBYQGphjPjjDcnyRdHezjb7DLnxpoX0SIQXRgm5Fq0
2EvZBUUNVFtvkm7ukJFwvV2SJOmwOjw3CyVhFQCCOrhKs06S+gReL4eNUC1K8sIAacI9CxnZMFuq
5NV1pbzrsWiFJWed/EM56rRWvtzfuF2mrGpcuQosFBd3dhsyB3XagZPwKzAkWRdTCR/Q36osSg/T
774Z7chU1OwYjBH5Ejgmnk58uHqF5y979oeZ8W4/pg4q5s2n1H4paUKxhzOYyb38F62Fi/goOkLf
9HEQFRnJpL9xGJ3nrrdL8Y96nQflBbln13nmMYIgquiHdoc/TGau01HjorOI5qxGyU2SHb4PdH1F
0+Z6BBnbnsEez7ubE/huwIfoiDKg50GCO52urMYtxwyacN9ES79MnU7ivrzIr/nEJ3Mt3dc0DYJz
s/EJn/vBiU/jXbCW6x8mf2QyTUaxXucLERpfSVCY9FE2bYP4KBlkp6QTtONiguYBn5NH/OUu6EwR
PPey8LtKWp3P5gCPq91iPXdajlKng03audC6uCO+CTNjJq+L6oJ0hPl25eSSfEn0OWeC4KJqJSFb
61x0S82GjyzDOlsfVTfX/vzDvAFEUaUuEO3wBN6pBbCCEAenkonqyQmG6x1OmG3/aQL0VefSCPYb
vmVi7HrPU3lSfSnzwoyEde11kmuYgyO2l7sMJguabeNgxuG+LE4XSZKFvgPOcAqZ4r+YlMvLr9b7
yzYKfIp2IfRCkQ2l3XP7lc9IczlqWN8j5CuuDOjqkXsqVYnv4/nNzgloptf4K+b9uaRG5axMho5D
3fhFlruJtwi5urhjBrsn5HBczJy4R5cw2SXdkbhMRg3b+Hdm6hu/luSZ01b4ecY/CXQeBGoW8Rb6
enE59TrwbVVwLpTbVN59BkSEU+zlCXomEwPDHIeLy1ZGBoTcHpP01M7ANp+32zBFn7OslM6djcb5
9QO02OI9+KEDvnGpDmh06TmomhhAqEv19nFLSXOCtspxRNpzVFhH/TMFZkZxJ692yTxsXV5SayeI
hOT+XA5KwCfRNRgubOlkHa/lxo30d/i4OEC4Ke9aG5Akk2wIw4x6Y7MtBMNa5bg9NpBNL0/AX1YI
ih9EgvAUwvyBgNNz8q15r5yoXrrjs2nGBa7EBKTjHthfIKPqgLH1CFtQSdRYqmQJgAY1VucwW3vY
1CAJVBM6cwZqyFq2z6JOx3RtUekBT/JWRRmzLcBYrlDz14JdnRYqor8QNXPSSCsDLaXMg0PrLO2o
urujyXyyLRZc3DR3HAG9PEEN5xQtwrqvxBQupbxZff+bWRFD/rtJ9EOsPHIvPjvHBo7x7PiB3YOw
rt+jTxO1ClCtw0YBVreSqTiRMu1wbY9AaHekWKvrxGkzyQqhqCaV1HpNKV2jliu/mC4O0zuQzj7v
eabESUPCtcK9N5R96RlvWVuR20qtMBs2cE6nvUbuyjuxfGTqdNYp8KlUHRddi26uNUfd0EASTloa
D3qT/HuNfdSl4SqcBZHx8ixdj7uns0TgHtoRYIsEw/1cY2kEOB+Qtwg/oQhYgbSyrtURuuVkh8zQ
6QP63cGw9rfltdQMh4dsjWTsI/pqdH9DUiespykOeerzglQlP14e5tVRfDJMEmKQB2MFBanjeuJo
/pYHzru9oYstyT/pThM1J7DD0rTdZ3bwah5pYP5SpZUkAFmf8jrR40v3P/otH1z7QrHByRCNRLKx
/6ej22diH43M1/0UTnMAgPdo6ePVjURYm4731K5wHN9bwDDJF+oeNg9aF9wUd3BL7qS3UTkHa9a/
I1DO26j6m+cGq/dkFeM+hVSX4WEmEkHVJ3m+t32c1rjzx+h93nWhO5wqTkmPnryg78f20hI1ht/2
LJr5pXFnN7D4hJ3OD/TmOWVAl+8iP3raifgELRmiQO/Bv2591EHT6lCr5HPXCCpI941fAse2OPgy
4rDwW+guHn+DaUNimoICceqS7iht2724CqGZ9HbevJ3f6ImWS3GgKoYRh/QLf0RZPeVS5m/m2F9L
1SNM2iBq6dGFo0dq5Ys8X7S78u00s6P6Ma+LNHEfmm3E86GbSdn8U0DTG89i75vHbxmZFm66gNus
H9s16BmPBXsDY92BHXBFWmZ7ZgyaJpmdLQrt/fiKCgIUmectptfWv8njHqTxfTk18r2cMgJfQNck
2fvXVQPnvfsQLoN80tyu9YeB38KxyhlKob8XVXHOJ/U7AZYrXkxXqGGp3vj25nBzKNDlBn4Gamw8
e6CReSxav+Qj2Aq561bQNdpS1bvebvFzuTlS1QBX71dQstx1jpVkreyBlhcLZHjoMvaUxEv4DX4I
GVcbwAXroMY5BUF/W4Hy4aivDwgNciQTqon7qN4HCf7BvJFZ3Eu6V8fF5gfwLBlK35eKqU159Yx2
nKaNL+xCA8LYK0clx501ZvIIXUTPcndvLkYTt6wbIGY8K360zJvroTXwDSCxxRAon0oerQs6ilx6
GaIsIRMUBV3ALWk+lnIp3ZMy1L7zB6bETL0fOHINMyVVemT8m1WN4ZS9HSFIkGejEC3fSxce50Ip
9OBHtlgRHxGMPr8t/m5zo4r+8CV6TLLwYH7N+OOYBq/gTEwliw86QIrup75QM9dMaBbm67g8E25s
Gc6xdzMGMWuvjn35wOodCcoaRT87b0yxqgloEGRDzMhhzTe7FezRHd+oixtayAsUr9eRmMU6lUNe
8SxLEcjoXzagnHjPDQlJDCckzx875DR4lKcW1E2duUDGqXh/5GTjmwjIcNDsOM4TC48DvfZUY990
pMvng8zPTuc7FJb9Njo3JjdrpOdNAomohqrZr9yQTpCaNE4RWzVVwZM3DZIqMbFFYudh9XYPUuAq
Edhy/EfVKEkXKQ12oRFRTkt0UOiTvCXokhq0rl7B3SRgtAk4rlTc0kPylw3iPLKudaDQqWshdySl
gXdsXiWpWZrg7lq1tJF7340UZaRgfM3EpNoRNlfxdDbO1LXLpZYs4K/UaG/Jc2ReT5LtdveChvRv
ZyXXCrj+t9ytxPvTyVpTMTexSICyx/hOocuMbnGcVnSsfGoJ3/N0Rpzlmljsphxq8tejv+5dfgbH
LK658dAnlcHZycH8JPxaKNJOxwMnxh7uKIQkLg9m0rQLrSkS2emMrCnduiXCMthJ3v42XpwEeVx1
gr1R0m7VMUmm2YW8j998nR1+mnUs6YQiEW7K02bqBlq5cOdNgt4gCdye0td4Nh8pdQzl6bBsJvgg
nm51CGlWC4IdGfpj8C74qEbUmSdnz5wUklW1KamHd8DArknRKyLAQAcQZ5JE8Mu7BNTZ812CYIFj
2wA5EmBY0fN6s5/P4VDvc/ZuODwxEKTlgMveJxH5xvEMWSan0hQRk8CUvJRixVRNOvjX7h/lSLMp
Ml6/jH6InNW6mL9Ws5jfdux8TGxC/hQbqc9b/csUdwRTbGy54ZJVM/Y1T4Ogfgzz2sI8QRnZiyGD
IXkbb30PHl8WMyrvgKBoBp7n4B/bTuOmdQr7hYOXlv4c/F57SgnnZU5B+HDrqinFJUiaTYyrOSR3
d5cj3N5hcvoIhLSVfJIVQpLnXlQzyvfg52Z8WzfY2HMibwUCqIp4C/tX0CkRA1z2UhLw4B78Pf9k
DoxsbrfdeVC7Suv+1UyJ110e7LoQkNC4QH7W3bs5/XPhuy5vaFp7C1OVwLrqbWg5FiG+CHkw6TMQ
nI9de/FmPwJZYPrGEuMd/xlTlK9358Szwnq+n9rOX0CpnfcGIojw3RyCMv52uJS/7JOADSb3h1rX
gS0WIOUH9GbUjguKgy7Esae+6sXVybESHEKZvdcMoD8gDUzeckhl/HGFM6WmHZP6CaJ9J5hu7Qqu
smzcjnm5QR9lsft/WWvTFOjZLQUk5I91FXd1j9Y6FZYK8Z0ZxfvWuWu6Zd7Qb/OqOd++0aIVKqT2
/OwAePqz8Nw1rT+bAS0dDcvrKysnsuvoUG1lPc3aNagGALocZHmT08ZgPBjjRBSOX87wQxTJxvQW
tfJwa6imbjS+nfrWQ3bKK6OGmcyrzGfGcGqG+HhY6xGFvAANMHyqlM7AZXsIlmnZkoe83iir/KGG
EdTMY0rPIQNrwG/x3mmIkKWxT6yh8XtfLuSo/72t6ZgMuF+bCvhVO4c0S+Wu82CtIXmn8lx3FqWo
t5Li5KIKtkHx/YA3hd8ipVpW3V4Bbiq+HXZHHexbSqmfd8m564/uD8S4XRarGUus3I5R21HZ8kBR
l8nqdu1U7H/YNBa9Mi1Knent2JXZ8rC7UboK+VSYNyw6s7q9TdGFjMKi/no7JWISxgBvwb+vC+wl
PabzKCl16sJSnS8PUBrcaIzFiTUl+4H2VcBI0APQqXVa6VaybWhDimikWgf7wWG/SbXHWoHWsdcz
8MDWab7iakkxB/U38QH3dfOZnTVXYnyaIw9QeWtogaEWoT07szYViMYjWC6gozbeUZixEccvUx0t
+fghXnLw3FDKTirav0aERUf/utxXdsAd5TprCv5hxtJAwIXffbJLmK+/0eM+cxXLcmQX0Hwsbh/1
UpurHIRF+C1VcFQ4iCO5VagXEAGiL+nbL4O4+yX7rRgIZwir21HWSxavHfNSxfbEWg/mfufrSYQ/
O5yM6+Q7mfLC9zUuHC9cu4p5XK6yvb0JTbVCnSm8iMVk5xVMkx+SCuDwnMORxQ5wWH6jQpBH/kWV
Papsr9stp1/tPq4ieepNWz6rbMX5Sq5xR4HoGP9EYg3LgQSOjNaLyKSPX+hSg0boje31EwNL9DXQ
B5TbrEEl7mfiWC6PANKIb+v1q7S9c9pC4hPjKvIGJF6yy8XHeFoBKgkUjdjGDHzIJp+7RVMurkBz
AEy3+jMYpDIkmpr6PcfQmWfdIY1hc9DeLVZ+G2c5gjb6fuUhfVr4j7vOznkZv/zRPVp5BFaSJQsK
Skb22cytWArgncVr7xHOYgGvWzhYH0mXX+MhciNcKrarkGeFC0BG1isrdtOHEgKnzL/1oeG97rrr
g1Xan53nbeOPuMryb70fSgfljCAXP2AuE1M71z0hq4kYcnwFQgWXWvhD0DbXKQKlz9FDeM8Dtqvn
Mm284KwJHrOwgeGBN3zd2mW88K1fIQ74OVap8dz12b3p7aMjYAUNBe/3ag7caeBt+Xsth7neT5MO
HDfS5kzo4uUcOe0MlSBRp79ITKGjZh3w0ccjsbW71Bh7xUPOD0WxyhuhZ5XQbNIhljlMEemVsGjX
LwuuaqiC35rYr0Bji4tD6Co/EpiLnfQ0T366f/dWYCXfNjXIjBrzosMPvdrGmgObkFcfxMvIXDHy
6/kDMQ1DAuUmsaMJcSa1C8xHB2w7084DhCoXA2NCtUwH8/3Yy8m+FIXE0PQEyydf9r2ewb8A8cBd
jGKwWPVAAMfP6q0lMB77UEfzaArdQ0tlEZymt2Q7EA9oachq4hheoRX5XEiFJfJpjgdV2neCEUik
GvcjL3pxzEmSS67ZOOGUZZdweQ0HlsMHR0XnYPhOjaM4vDRlAzYB5iYIASywXHgqm4D6cqVrEQbW
MQyF4C1efu7wmccJeob6GOoXFJv/P61O7hxni5Cdvw0seq0oLC7wrVG/1XHFigB67v809YmX7/w8
teRSTYCwmaRfBO6OkPBpREguLCsq5D7eGOwUIikCtDNFuFp3ZcL3IcDJPfSvkLTMF1v48jiekyGK
ZEHESCL0nwBOwy/5dCCVKiO33nz7oSQ2ppq0LKSDK7ANu6A0bA3XCjWufK6bmX8rnKyQ6iiFU2FU
APmR8dHB6YWDCcz/FUZHrxATmupa6ctjDp5WZaRySBqSQAFKX8BzQOOfjrnYkQZJ1b6+bSgwMyVb
ZQn4dLYO0Mx/KA2INk0WRejJ0urht5QVqWO+SJdLRkwWsVc/opkD2Gf0aTf/5B+WFG46TkjMnsbX
EiOST/OjWjYijEs+IAq60OWmni4/mbATZwUhhv4kvavDD/LiNNtBfXetwpm9MShfUEHLBmT9/1F2
XsuVG8m6fiJEwJtbLno2e9qo5W4Qam0NvPd4+v3lquQ+M1REK86NFGRzYQGoqqyszN9siAz1wJzt
4IrPKQzaKqvimAO3zsKwPkj9szgBz3DpvTUaV7YIqEX2XQBSdvhupzsqXnd7ZEsjgIqLwNVXdFXk
KL4OVs9RzkC+DRa2IhoBlyUTuIKVPIPjKU078Mcj5bxfYMCgkaiNbQ+ZY7G8eTe7gOrloG6OAmnw
62G7Nw+PrJQfweCtK8iFH4MRhASvwoBMdNkrUr4yDBHbNNxOHz8ogvoVDq6PmASnjErtotjyj1QS
aV/9v9I3M43yrwOV1AHeyEoJ37W3vL7sAXjZ44cQFW+2XIvjOitSI6APr234rvhyRf6erVUyvDX4
5OG7aQErIuf/99UmGIxg2Qb+kio1Vkv/vQjsFNUd7CP8DxWbhkx7agv2/jqklW99BYAms8DN7Z05
ioCewH4y70p9qKblmjCJopaUeq4Epa3uAtbrBDESWmfstDW8jnGVasIcW9U/nvbfT4zIBggQwBxM
4MIDYHx393iLDkidBM0HLZB6JmsfzF4H46ggIRzIgEiPfvzi/hsWIy06Vh2MN1wLAxufsndTsoIF
ASx46z8UeRkRsJprxfTt++tIUssomSQhTZ1VStM//v6/PXkouByKHERAjM3eB69wIO8BhjI9Q4OT
CGD5s6RhugGgISdk2zADzPBP8Iu/7fLQeHjZbPGhTV87fl+GzC20Q1KOfy+YGBPPJrvK1ujjurRS
PPVLjq9PhX9tNZgzPi9T0ipoIBH/I8MvCbagZeSY1RWOJISmXQ2CZeB32pJAQVyKqFqgZ4eX9Wle
sznQAHO0yWZNwmdSTk7bDWnVj1/1+00WhxfGGmg7JDCHM8+7oaZz3O+d65Qvc7J6bAL5TtEY1t5E
wRV0vSFUmCAaBBVSXw+4YOOY/dOPbwNy7rswkrDN0+UDWc/UgkP1braXbX2geIk/+oY+FzdyJLBE
vncNx0G65GZb6aAIsAJDEsysRRcFUWL3fNHsKjIVt7qOZavdxhhfi0fw+IJCUJ6dlg6z9Vz7X7yF
coNz6QTb+n03NU2tNCr1rphnwR46S12wT+zRJiW/srdTAgV7jJwvxhGwzfehLirucguLCntLxwar
Rkv7yGTu4porSdkZ2IKkNX8/YuAsuVyyC/DBXaKee/S0MGkSq/qKLU57jhnuo+63ej7SkcLdeaLY
rMDTyFBNVrdku8sAgTGfgAIIhUo31cO8V91HqWNKFqqgXEUX6V9SwAlGNPTJqpP5Bn8x2TX8IYXP
eYc26T4+zWZnNpXDqo+F00UdBObnHV1YqTQrHDIzya6+UMVvTHMuQTOoidikFgbweV4pQivSi3za
DMpgkgJDG9pNLd677if94EkWrPd7+jXUp9OAPQz9JKWTzSjpfWKSJuQzTdy1Uo3WiCA1EwM+0gRE
eW1gTaV6u4WVwKsVglVO6DoD1b1m8fqH+qZt6ctDSva9KPMuWbJIzYVuhyBCtxq5kuQmBMHCmEuG
Wb0qHGbtYoGwUEvteB/oVFZz8aAlfq2SK1BKjwmaLR0Ohw/7zgQWfQDQN+D7XqIpkafSJFlfkKZJ
+jEFjw2mE6Fl/AXuLYOoqKsOQO6JLPPehsdFq/DpfAjOfe7whOOU659yzF62YfUfmx0MSnfRpoYu
xKxsyQ5pZl7PmKYhVRvgGbWEzDtvztSthgsQJTnyQR7mcKQhUxlcp8nJ9AkVl69UMYpess55mxKU
tA+DP0ZS/HlCNzhXNKYrjC7vm+DoZRX7Q7b3z2eGVqL/FNAc4W1pkqLvBx0EATA1Bk+sWDNdX/qX
dMd6vrV2rZ4oCaleEhllEtoG7K8rUamA5rHQkJJEWPmEisnToTIzusFvF3+BKbLhWT5TFxbIrKZ0
1GOhGnbeJJimxgD6FR/29hYMQL8zHDdtt0QIGzrWC0pcR/tJX2xcjR4NC7OwzPxBllsguJrkKB1S
yVm9QZtvJlNWPpquVIMwqwwKy1yqjoOTkJQi6cVrCbJzZBj2IotqZNbp1vNIhWHq5QYrpl+jE0ch
/m/Lx0DVyVI6hs+trZTBNPj93ED3ArMr6JFYwXrN9ViRVXXCAGkXhvKmRBU9y1TX0KqIe4VQKnWg
Stl0GF4THE14S5NAunloCUsoNtuSrhasgCc5Qcy2NLA9uFvgF/Vgn3ER1sm8Az9enwEGyn5q1TYV
il+QYWiYfUtDvz34lBV+N+LhWDQpIqp26Mk2M6ONyWjTbHHX/nbFArpkvyjXHoJ/QAkStcn4Wm0y
W2JebUJVV2pJY5h/9UFf0mV+7mlFW6u2QfgyCbV9hysSN1bvS8RuPgXY0h9PWr04kankAz4V/HBA
lbsKE5SYb3TCJkTz1Xs67R3J6FuTv8fpyer6LYpoDS4vO+d5uXngUz15fuKdJ6HlGg+SDokwGCvX
H5SzqzREpZ3qlqFYxx5aSjVdrA79Wtr6WyJvRTmGSjrRPp0CAd825r2V3Vd59vpcrckmdMLodqC7
kUFwQgCSxmpq4r8exea8J3e5DKZIrP9mir26hVd+H1PZ2UDgf59MgMzi2lr/Lzbo6oKrJ/QLbX0q
PbeuCmrYv+gBlCKRcBO8Bv2a9Xk3m7ZnthKVEhjPpo9Epz6vjuS2H2MB7quswXC4MshdEMq3p4Zd
OnqWgFT1DZkVYlasIoFXhP34g3yeka3/q7US6SaqXoLu3WYxQAplF/w8H5Ctncd4oUPPzm8YEJoH
ZEcimFOdg5Lis6KwCcz5pXa/lXjxJoIQuzNTAn8w4XaUCEUwE4u96vlAXc+C5i3WbGZC2kdW9v3L
nmH4Xf2Tmeo7ijwHLQcAPgdwFydcwWu+S4UBmVu8y8V62AbqGvatS+G6mYBPXONju/pOgXNXyav1
PtNIHxglnS5aeDOBRZ9qdaPCw9L9x3mygAL/47ANzIpcnbORCxiOatx7sG1dIQ4Yd2f+fBZZxUa0
9lW0kG0N1t60EKDQ2vwnnLz77oAP8g6javT5QXGKf+j7IxH4Q87WPSxrzT9NCFS0hSKr7RjhXut+
Of2eBs4NlnZjml6qIB7G5paDhcCP52NZerIWNHqi9H7o0CVMLopJHnIsBogYRW21EKbnpg9TnAag
JqS3mPDI5mkqGsG11PPjl/o38Imo8yA1Al4Od9T47zTNtHNzsD6Vd5+bqA3wlIKS5l70Q+VwT1ND
Nvs9ArdAfcXkmaEH7cJ9HEVmM7kxBTHdJhVvYO3zsXkXr9jbOr/oeSZDCHiz7nc3aeNX3T7edtcr
ACXDVmecbsdicRGR1v1ITxSLiBp8VzKabuWzf6Uyad1CNUMSyEisIbPSYzxbGAR0mH2WVxn0YfUd
gZujnS6QiHjaOUslDDn8hwWrOiqz50uT2UVeklfQbKiNzrcKADlWFC6OJzuGz/ddcyDNltD3lmuR
v7UjuvdpTwfqlepQcEafijioWTrbEc8nScI5H3V2V6xIYnML2dB/X1GBiscLBAx+pXnLmTlSiZmj
DXSO8UBCECT0iyen2KOpvx0NXlz1DLSiuQW7VVaXtkeyv3ru4zKoETBpx2yOPgyFI43f0JyRlJqp
/PsQPVqeDKVGSdm1Etqa2ryJg6jxy36uZLee9JwopbmTuckCvc2uuxvxTz1oZhnqu8Hf6LxKZBxn
sGHXepnZR1cT72cjqXBI4gelwQRzswDMzpnjHsNGa351Hr7sKv+wKKRC/J+hhu3fBXseJxHQzr/r
HzFbWj9tivhOyVmGPBGB9YeR0+EUQZk7r3cBu6XUSPgfwhWIvt7TB5OZNpgdeG8qoSDpRTKgmzzR
j2/1bxEKJhyrFtgtzS3KVu9BwpmbQe6aw/zeciehQi2x3a93aV11x6/r0AEmHey2Cec74B1p3T4C
dtza8TaN5jrC1RRf1i28T8zBmy6vdBh3KHXOc9RCVbafNHtj7xFSkpaPE/PQSW6nfcHD2ycCQZ/x
EcQU6h/GggLIfw8GtR4Kw2DFBUTvONCC+Pf/wBenZGCDj9bkA73omA4aYiiCjnGbSc7m2sgrDQTX
FKZ2HMApUxZdKkXZxKBpmjgPaZCV2yl9MgMPdOZWGmp6RTO9dzAVtP/axQpp/U4zeUv2e3J6vT3e
K7xoGz2Od3FChfWr+cazH2j+KYBIb8L0DxXZU9Cv5puQDFu49xJoA+Ws+AoMfYP5XMFKp4GOKLxn
AMRCxxl+uuS7cHwSnt9hI5fseiR1bm9dbxCAYtUm0i5k4tEJRYJVxnFqy42yWxHlO1+m7X7Wf83H
PLSU+V/cn/JSRtpx/KWiFEJyWyCj0WkLGAm5YVqW+ExjzcNf0nvi7ZjvCRxXsEXTFcVTOmuD8UOH
tlSL10QOfxeJcrFDAp8UDJhI3LgRcg3o5F8btJPpPTt+K9iAtWxka9EbQZdKHgqF8Viu32FuiRcJ
uSE3WW5BvKWXsVsObD+0Z6vQa3012iQe41aGeozcaGpv7I0kp8S45QpAdTOIlkBCbV9KWYzDFYSy
2YIujQGX8LmkOeQ9U94WILXTnwdRjxRFMGKL+UDT9XLC74jrcoNxTiv4Lgs7BHZfqg2R2OHegfsV
7J9OFzmv7VtncCqWexA1PwdDjPvTY4PJ/Vy8vQJ9IuDVgqyF9CgzFPy5O5Z3nUcl6rmL2pk7mp2o
j+a7JC+zNrrZ89FzthfYBLBq7pEOI8ahDnftRqNYI4XaRJ+Lc9jxOT0ja+yeevZhQdKi3s8oKJqp
zT0p4vS+LzAmzFJkMHYzAXQ+oypGmnMfpEDm2AsMKll729XcnryH3gknxksRtOgiy4vTN5YZjLw2
5p00nJksfVlkrfWokG2mvKCZK7R2eQ/26gh1HkfOJrjbsvqE+5lRKaDfxhaboVJtHSgT3GzLJkOR
ebbgo31w8vy01ZVcYzQrBpHclqEPllVogaj0x+HvRZ8KxCJIQWceD+Cqks8+qhEjkCcwiTyMhpmY
NigAqKAagJ5/WJH0D+L7wYCxdWps5r4VcAcIR1ASs2cBp0IuKB5O7xachiAMVtQZB1Zwt8lPvT0J
dmw2fXxt9XcI4vJmqH0LRscEqK6Ykh4YepWU4e996SNKfBfWwcpwcCqVS9kbzILw0kfUL53btMkb
nl5XGNx0iWtl4AhA922Iu1T+JF5CIakuyALT5YAMsyfB12S0HzoUQYsOXMf1sxgXyHf2diBXUhB2
sqP7AgJycgXlnjXWyP10vVsyoolBbUNgAjFZniOm7W+xckQbCp6/g6FMcAlXbFh+B0QkoWkuSjKz
wkDvFQ2hlAmdfPDSpf+zGGjPDkCOazDUsnhrA+d/g5tf4ewaaAuUGri+7hgZvmP8pGgPJTz0VDtZ
n28LesVDvH9ZbFyaADMpKGkPpS9z2rl0R0gE2+n3uvP3rrsNDTJmuGLPtVeFXA1Pozc3Lp2gkLSA
uiXI0PyOSDngFL04BhQSiBQQ3yABg++LnfWcb29wZJFv1FaYfpfSIxQEEh2VAGauqBJt0uQm7MdT
JWFPd8YGx21GyZ1DCfTeuQjAvzquOLloYHkAPDMQ+9DsBYpGQ+CNrjQQcr4FZxWB/Gh4xD9bcHiD
AY/qzGOXFTTTYJpnGk/ZvHcm2Xw00uvRXQkMWOvS+TmRMf0JDKagG9/oB/Yi0R8LrAroIsZ/ghPL
IdCxHHubo015hxmvWw53dZsIjaA1ban2ClLUH+oZkutHbNglPumWidqubEDH7EqY94JWdv+Ru7Ip
rfaU2c5PoMWE+KFDqVjD3vBMRvOob1D18BDAm/6lYIxAXSJ4HQHr/D9k3hXcGKP8v7bYJS02we/7
uA8o4dzQ6pYo2W+tUFjbk6NZhGqowbCZsstANQFoJcFO+hzOAYU2ew3XTPCBAGEzK/qM5Qf8iuWi
AGQbeT7BGkMFlFWuN+d3mS+LfWnANJYPLhDv6x95aS/ASs8Af7cyCnLgbXabS4D00PHkfxP+PkSP
HLcccIEmGVDcrgc01YpugzHGDudmcvHGaQQSuTrL67QCo0qfEE1Pm/ilHmPZerwM7UsINN4g+lrt
ZEtp7jhr2YGyPK6Bw1mNO/pRgR7k1kdnfcHLSIZMQalY+CCY/tigtBg3t0qnmlJX4K9T6gkZRONn
1FawYT5HPkLM9bex21BGOi+a9dBQRVX3ASG/kWdSDk7THwEwSgXPYSUpJ5/RPD0ECiEHwYGlLPYR
kpZwfeb+RBL3E/P4Ck9VRO9QtwJajFKgf9mrzpUUu0pe4sGZEPjmtM7BRDwJANhGn/Yc38P+ZZsK
yf+mdRWorCIaa9TOmaIxYI90+fUMPeTQvgwm19F3mlnURojutLF4FgX0FQY56eeQKtN78jmBeeu9
9FG0z2KrOUazd6t4xzCBF8HG76C/ziLrFglaHKWThJdnkoLOQAY9r3Xm+Lmn6hO5v2ux0E0OQXLp
1qS/NEFxohorSE0HLXvrEXVVgNUvitu0BsAg+0NUh4O//KzprS4h2LQhw4E/gy0oScPHan1CA2C8
DaG04n+oWAuYgS7LuVePuN5Gc/vTniYdLzCg+Mj4rXMuoOsT8UO+NjevxfSZFZ6Y7wxG8qqA0smg
/RCstkiLQbLLVkuyK0Oj729wAylZ9ksgMGn9JZBdGfWUri+LOciFQvK4jvFITNBFuCsU1CQEUz/1
PEkFuI4by9AL5YuKJUh5SdFaCw2MIxoJ/tlCbsLNy2QyZJ2SqFJxkAOglS7SpJqbCo7ch71v43P7
OuxxnA7ohOEEN/6sMG53mQVRfXR70jofq9g55ubF6Tnej5/LPBUoTaxMsbmXbN6cV3SvgT0mXTCd
TnvmzAR+xXoq9UvpgGk1CQ9QAdiKjFXYuBLBLIPL1Q8oVwzYNtFaOVdrvko2eSSB0Cc0vxgMDPSN
MRbngqp2EMbhDSPYLXPMqZsSGoQX59IQq9C/ZJxwHpUTjg/Crz4fOnBrHQPruDvTXcHnHmVwVmBi
95Il6qAjJCrpLpeUDVPXla4W3WGVCZJnV46nb+8gKXSxVEUleJFQaZRmnNJua1yQW2Cc4h5Nwytg
+liqlLvFVDGvvbsj6qvxD0KHpB+aHetGm9lM8+4Rk9CEeeetiTe+BgnuxdEb+n3EDIPJdMRrGsb/
jgzmGLWUhRByGp7mCYliSV/RVMAI81ahqwpt10yk2DMZQmVO6hBiBbJzFUgh1/wVJAW7y7KjfAY2
xzQMsgVu921w1BEl0ShCUwsqn+0K6t01O+1bY38DcODf6VFPjw5g0gPGXI+/esbTA4Frzmqt2exz
a8JE6Hb1dxSQ7huziZj5E4a+7PYKjNVjiCJ+zY6qZwbXFAPCpgGMyx5lkMyNJOWgvGS9Ia8csQZd
JHa5Ikauslfrec3e8ivno8egitzYUBIVz3LNOszK1Uv05mXN1Np4WRih1LL1LIcc+cpkkbOLAvIb
4Iy8tNHJxPejM2Thyvzy6GI2L9CEm2DbHXC23KtmsgpE7s5tKaYX+wCpGd8rexRt/BMsYDZjgvvv
Ee0RlkRjOD3VsV1ZquaSFGYksmi+Gs6Ow4rSPFgHTo8tDV0KhspZXLkjXbN6YjdvuUQgnbe2BY7w
cpGZFhC9YuBxkQTrfqs8AegGEm0UkU9DLoLk4/qezMAirEq2/mU65KCmbwxTFDlkWcF8ZaKYJp9h
bm0N9ET3icxwkYBueMN6LFbK72kPcmTUo4KyrcAqVbxTnelImQWElKZYgEb+klSZ1RUPp+NWPNAb
qaKkBCSHbKSh5WrUgMPfdVdu4DVzfwp8IjHiGKT04XhKZY9wslYWt364QcGBmaWvKoRYLCHIoO5L
Z5RLORWXH2OXM0MzHrZz6y12Wi83UYNRvHUDiEH2HKR25aOUWq8CReeVpE29qFzmi3A+odLH0xzz
AZ01MI9iwuuQo9ABpsPg3OZolLWgk0dLGPo5A7On+tkyqLmZuYpIn4JZKkacVrp4fKBFu9U/Yx4q
t3eGYNGGG53NWiFQTjP5F6IBF4/jvJVclCGs/6arBxVYAdEoCh9ZUpn+WjMqikGYK61F5MCgCJUZ
HmRYaAM7D8HO+d1GsRsYFzw/E9qjwbGr9S4/sNgI31azsgRLOhVN+uXHJdt39Uww1BB94fNREgdW
/jdNFIDkAQ7ZTgqAJBS5YCmfURcGYJ9QeE+2raHjo9p4meGuqvzyj+/jHdKR+0CCw/Ej0S6g/fNe
t0E6bOVQj9Gbgq6pLii8SCECpxEu7EWD7Z/Qs++EkYIgiL0opnAVwHp2gWu/g705K+3RwrbqexWO
6w1mULcOfwXULPWZFoN0zjleELSYDV3RXSDbir3/UmQL7ADV48dj2Y3n+zIIRnv+StLkYBbF9s5J
4rGLFzYKaD/Q+fFIWcudqrUi6jATn5sWDkySzOHjCbBSREqViIxTrGTe1nzgcf6qQr2WgWVsPbWc
+qUGUulltwuumIxiEpR+1V/cpJua9iY86CAndxQxcY17HUJ2StAgmd3G1j1OeGzMX0zjdA8oBf3V
VdsZsc0kqehWKozMwFbS7ZjoApv+V14eLSG7GmLqth8V2lEYiJaqPBaopPk3Q1hkRXKHToR81VgU
0stP2GToYyuIQhTU5t7/h6r9O+0Sxhb1poQCB1opiU0v5V1D2WvsAshOV93PV3WogMrFcH71jabk
G5yHNIVXtuWBD7OAUpQ06iOjmQ4Z5Sow2JBPuY9YXwnMznTKfrwKrnfyH70ewNsuCk4clukp22Cl
392pPWFlh/HadteSn9NXMpgkE9cUwaWwDN3xtFmpcuOcN1Y6Pnl+1epKIiBKiMcZ1ES2xdjFgpji
dAWl5QrVc/pampB73FwBcgbqYr4zq2eZbLFRIdPGi8GfaouRgkFPbzEwPTrtgNkcCew7vUft25l/
Mlqfo1OWPBduV9JEUOBFsnKQcxFfGqyt/803EHvRtWOZFPZWVT8VrgdUil0Y8cvvOgC0U0ZmnEIm
31QyDeRJRa9+PDp02d+xOQKB2Nt+4Pq+E4ncuPTq/qP9c9oL9zq55V059z1ZV9u1bnRzVlngPaGO
aNUvbrQXEf0q1t9fqCK5z7mHN/ML8PFj/Dp0NrofzhGO4Y3f9lZ5X6PNWhSXtosrzO3aePd/QYQw
n26AHVI1m/3K//O0gs39Nzr6WXF7tius0j/oFS5n/ohU73b0nyZvkOqJRbsjPcBa+nblvqAgUAg5
hn0QKAJLVqY3jXPJHZPadWgeRiGWIMXldCa8rz92dmX53gVL3BUE0RCXPRI2nPzrqnk9Q5rAIAc8
VDSFq5tn2FJMSNpYGKFMYREU90vk+fQXh44wt90cXS0/pXRUOvdTk+HLat0qvE8ZQ2OZe+CM7w5D
GarRCOALKUWJmN9mJArHBcQQBhhNEfHLGgQTixOphzLtHxYLXnvwfTnH0s8/6rMgwgPD+pL6jgdF
iQ5pHHVg9aANRnTBR3+PPqCB4LussAC/3PCTD7Jhq9tLD3shv238oQ6iZyxe+mz52my1tdDWYUp7
PNnaYo/wx+5JenLrHlcl7q5exVW7xziwyZ+zLEEW++LYHJ2i8M4t4zmzP5/Mi635Rv4CuQrzprIA
//zs2/5QjK9TX5e87hnNiL5/wErXbcJXJNLSo3pKKysAy5GNqIY++1VFBw24fXrMxNupxmN6828E
UtEnT3boL0nzORuPusYKNgdmvqIoaoF8uac114d4zJPfFt7jUBYg4T7mVAzH/C9Yn6M9PnjnDEzp
iT6NwB3HAQlrFGA4gjr5Ux52yBj9hlElePCH0W6IFp/sGFXbCbHlNfPbG6SU1vDXASuodvkfMMNp
bX/KncY5kpvYcvd4e+6DjTmHtlzbNg3izOFcOS97VVLoutdaQZlHInm5d6XImSquBlt04Zo5IScW
dqMjaJfY+wM/t6VvnvciDcbtr24ENfBb64/WOWLWnqdpiL0s/XF7v4EvWeOTexYYzM4Pqc+WmFym
osEGHfGVhVz99qjL1cset9IB9YDURt+GI7IdQI6P/dmaMYnaX8pjSmtcofsRcudP7HW1tz923Thw
DTgHWb9NOMSkZFLhzQEmeI3u1qm1nfAvNJbwZH21V4CQwUtAPXsefor6pPaO54SOSrE92FEaN8Ml
K9L+zH9nwezrdBsNNSN9W1Qh6pgvtMx8mm1HmFq8TFjfWE59hIKfxGArEa8fui95EddzeVvz0tP8
Y7WsYeEkaImtu7VcSgTC6+m2TRG0di+QGUTa0I1JQZvX7CwlGGRbId2dzXilrjsyieV9Fx89634v
PMFtUuYlxdlbCNxogeJmwCTJjeitfxw7V0btT+LEQYMm2/7Nousi5yE85sTvn8rQtqQYNq0jf6kq
l+lmbcFJpuOX9fk7qn89xE7ER6fTuSBmnkZQreNlwPHhZoiOLMI2PBqTLqTEqqYteViv4/zNrae9
HZobGl7Ame7zcXCc8gLQJZngCAGJa5Y7pjColZrXm3k/tQma8y5lpGMvlktH/r0HNy5kom65Kat6
LfLbYM92F0M8a++79cK+DDkT8HqRD/Z9uc+LVdwGSeltnFj2hbrFvXeOc0CNwLKXrrzkMx3C8lNs
gpdj4TyAPcHiDlF/mwBTn85/uZCiivwejGDTtk9u3NhjBLJ4cYruhrCA9ur96QRiZAMgqqFgA+p0
mAiT64HtbP+bepSIVznjUx97m61fAS3jE3Af1YmcXM+E+mv1ONJ5b+xP07BI6al1fRmEuKfACbiR
srpbflizFk78fbeuAi6CcCenFfqzO6eEG4idYW0/El3nMEHTvEVq7Q/UbMqtfNawoZ+w8KGg8qUa
YrRbGmbEkDUzt7279ATBzIaHw8w73MXlf/Gw9PyycMhiiov2h9W0b6XHHEef+w7cTnkPT0sK8ulp
e1zsHCyhG6So4lWP2LLJvoGOvFQ+CoMfXkhweC82PVm86czk1ylqUDSoOAT59HxWB1vac4uCX+1/
gZgpLw50sjTV4ItnBOhsos+73UB2pAr/0nQxUm+v1jkzb75WCQJbHOzQ6CicT1Ez+Wv3ESEFQAV/
Tm099fOHLaMz7qY3gFvkjff71vHBzR6RiP1mF33OEJU2eip4JLhelWGZsPTpzns8lnCkEHuz5MFk
w3orLNnZjjCTaeDAp2D72YMVv4btWaWd0wWbj/aTWiD15mWPLTj98j6uOXfAHi5qm88jDiOeUED+
ZcgiKHiyskF12v1r4BPB9499EOEf8IRuzMSDV0UhuCGXGMNPYxzI29A3C71JuB60PqUxgfCL7CUQ
F+RrW6NjX0Ly5+7TDM4DuYlRotYPqOZ6m6wbH6cOBib7BYUSHvdhT90aaPbqHAK2xCOWS38bx0Gi
WckpgxvE6nnimgvRhrHIKmOnEKdFtj4DNvKi8t49GxmncbUk4CnOCEkTgd3bwH75Ws1CTpNGAJGs
0/Khn/119eiZXbMm9BMqPhCTsnKxqFyDJn8YHDKw5VZnu05e4LWSoXp5sXBnUKAKUR+8WncMM3px
P+vE0TtxKOhxX7or5t4VQoUyvgRWF70AmTfImhIMdI3otVTmSt8me6Og2TyjkW0tbYlbujEKaZ1A
ZKCrfRWOdoqqB2+xBAVAE1PR8hv0IkFRsT/K5A+WjXr+xQN8wTUxoRZKEYFF+gsF+gv8sjIiCNly
dR/xN6IrgQXzcP7S9zt5ovDoZRfR9C/pZ5u3kp5LzZyztqviOCnYVcW6RDSChUXkl/nl1rF8cMri
yt1uB26+t7Ag3rJ2/bJxlp6ixxREGVfr69lx02/p4I9F9byb7NM3bO/ZTAndxEZT4Yiu8qxBiRAe
UlbmD928dTfEubx5K9s73LJ5dd2J4Ty1TptcgTDmcxVkESzeDwsFGxqesrOd62IIVg62v43L6UXF
XRwiP4KRXWD75/B5MDHVAwIlX+e2kqTOybDFSLT0Y50DCPWgGgLhqxORi+4cOCoksHXKnKkhY8Hf
usWaQwITUJSFYTyQceaWiPY95bqbdbXltzrxM3AFhIB+7fwCoFDt9BkFiLIfXYyQc5S988eMwiFY
5TrFz7N57RHvaAFBGmVt19yhLvMDuBL5fm+SgbWAk31+/e8VjQW05Pv0oWgTPthnk3Nq0EAGZkV0
bU2o8mFqMN1MSOawNKJSXrbAVJvXIg5F8z1CEpix39Wn1UTtxtqEAOt5EyH/sK10Ki8dyJDzg763
wUic++HVRg8NDbnGsDuHTLWBW++eNLVRvXU9WqxGt8DB3ZkwZWx9GgOqVBJKgMQYuH7HBA/qDAMD
45j1OF1xsEdZ+ujkV1Z03YJqhJQ5wZwYZ1oIedlNFjy1rVA/blazp6jTuwZx3Tcpacpd6r4Z1KWI
vAdmBc3V4LLuh+Vq4UcBRXQPlsRH7OA+PDkaVI+IqMg+b9Vg35yPTZHn4/bnPB4D14SvKijRdfYX
y34II+hSJ653V04vgowS//YICVv2oLqReZNNe5hvH628J9u4gUJQyr+NE83+SwfNkNl7DhhnlPe5
x7Z9XuZtPN0btR98Y5mfYTRFtBzRc/9No5Puz3l0VcBn95ODK44iUqiw/MEnIixuL9dHYUd68Gp5
oqQMXXgaczQgxwe6SQCrOnfqHxhq+TQkdBmEwD5liwgzW75nq4mpJBpuyTb2oHtRZfIcfQ36dYjG
CLo222bBzJYTbYbuqQBkwh3pjel2xQFEYiqhsePf9Cr6sNyIlUSfdZMtjjLmJjhyyGav4wv4Dr3j
FzVVyOpOBtbNcwSmPtPAnpbjCYApwfRWj0fnOcxyXjRpFXa8kkgpCtiOgDIHLz1W8B2ehzZ+Ffzo
mg1OnyU06iFvSbzZQjUIq7FAbFmySWu8nM2ZsOphlJFw2AgIUkc4B4lSbzsJimM8fGAUYXAUEYkE
/Uv/mAaeGqy35QLOne00IIHbQw7BqJVcQciu2aqO2hffKB1A/XafovkWkG/g/3C+nUMSpq50Pk3F
QLfGaq4lmSyxVWQ6671o3aod7TX81vTz6e/M5kVOP7p61APJ4QDCx96qD6YKqNWSJqFEgSc9qxwr
Wd3T0AM9eEkquLIbm4QpD3tmsOZDdD3WJv7sLuARpj/4cjvyXyB0SiEmRVkGkpk6Y9rhJrseKGcR
OzrMn4Rmb3KMAVxGgbwBoFG0WCk9tCsKk+fXxjyztV6naWyvV7NBk/1NHt2/4sGc2Yyo+BCl4v5k
H5M02SI/nJjcuznw0e2X4IVYYRY9W0GKtBA6aNfBzisrid0nhJSTz5mxErHzafzN6Ys1fFi8ZAbJ
KgJNEDVKGzH3ZV0Su6J6uooES78va54/ugeSp8e3BuaV3/wCGBx+1V1LqWQovpwOlI74c9CAWsle
I5NZoQQji0GXhrpq6OKzeqB4lJcGNFDJv8fK5vVpVlmkPkYnr9QlVkjg+D9JsgJmUE4Our3pWkjd
Yu72F44d7tJ8KS2pzPyFFoukNbE9iJ6NXlp9SPTprWWX8jpkzHNwn9lie7d6ciOHJOnB5BWEClkD
VRKKt5fGCE2/csuWAhuBxWqyfzOHx2K7bc2W0xpX8j1o5Gwd1I2M8jmlkyjkpZUUyOwulJ2wLQNX
EjUNbWqXpAFYn29zIgk1Gia9cZ5lvGkNcvPUNeQrNN5pnqffmxmXsAYRjvNn9Q55c5aNT1n4+qr1
Ja3mlxq4TdE/iOEVLTdzdBDDEIFxi3V/zlbEXLavSCvZ2DNYEyE7+KXPNlrrH3caVaP/enrdmlIT
Mvw25dsVRvBF2dpglSBbPqjjQ2koaXGaIeD4BKwz6vqP2P5IRVm5UepoUBvzApGr5gVArheObBnW
ghxRQjcHA8lbg7WSFktkEXbogl0FaVU0tTC2BYshISn7WlnhWltHoE4ISsofV06tIeuelDKYhoiz
XanQhllLu1j0b/Rm1d2CbmUhXNEGnjC+kmGAG9RTiBGamz1qVKuD6Qp6ic499e4yT4TTnjFGaymw
T20Ul+VDWHpBgeyCofYrGXc3LpD6l/a1pq6leux1xHlN6TR+G0uQUo5dNM7XEOlfrV9VGqj3C9v5
ZYwtH7qYaQ8oU0ibJmzOnbWjX1/a+8XO8qMYbu2+Ksf4tp1tK2h/JQuVLHoxHPymrJPk25IB6b5o
qk7mWJTjM1KE5wkkxk2kGWO1m/BXVclAmziqILwbM1hlmSqzTU2yTNvmvOrFUlsWtpgKHwCQhPiu
8gDg74TvqOYttRAIAAYXgiFzej9n2jpIiUJKomRyzV3MhLNatL39v9SUWntcOgN0bsVdPPEnMLKW
ov3gFFZ+dg85hD2eBgPFihsq6JOz7vVWPP5p+K4OuuEIypit9qqmxDlM9hIkEPjTCgHzQdy8lE6r
T2WELpRpG1DICr+CXUkT7+IbDi+rQbCbwKtDMmszFdUyODLqyyo4oCoQ7hQJnE+ljExvx7MLweCq
/4vRJ9DXrn8XllgkvUbG6W0yZDb062QIVT2po8q9ruDorlI/gfFvK+2SWPlFV3xobJFxcJdJmiWH
8NfgYstPq9FNcI14B3oyKbTbCqIqUwv9P0GOGJ0jZXtpwNSHsutZ5OeLxBOz88O4uNpmhM1cCdNK
vg2mmzSiAsN4Vwq3JgHKhj9Qvo3ybyeJ1jI/tzhpMU16M59O4z6TmXaWfo9r5K+V/2ze6NEMMrtU
90XvWUXD0OYTB1qDZDGiHGbuavN5CmJJcLJxJc/6lzYKQd9L19yoZYe4LfIXAjn8TZW5mxOZAEzU
ljDLt29LDW2+uG+vwmKqrkAFei78m3ru8/a4VNYgZEzPTKKinITmr4OgQ6IpXGfv3XVSZ0M3/Yr1
c1LlNxYAA6buXk41u6xOT45gEpmpTMmthEj4ck1dPQ0aQVv/RaEAYyxm9obgp+HW3ckyqO1nZbrH
Nwnk7Xi6y8+kSD9tY+4MInNBDSyiZ9G6ZG6aBtpjcZ0ipryXmtvazMlKH0DPZ3BO0mRCsSIaz/03
O9xLL7zXjF0LPpom1H6Ve/WfWRYNPgyedpJDqDm6ansssUhGwc/TkU3P80nPdZrjvBXRzUYdGQ/C
wnTuIqeQ+ibYaTnsI/Ap9TA6AGkR/drQAx2yf7GRymlF7yUxubkePJcpTqwcrUS0RKhmmPLd6dod
ZxCUEWr+p8fC2d+Qnr2g7zbzDR69CJ5B64uamWmBlD4cYjcPXYU5nXeTD5u//pnPbnOu93SjHKbY
tnh7amGfOZHrfNQDO5kmR/l9KZ3AfexLKiIgnGhoHundnpbWQVV860Ej325eLd0ovK3/l7srWXLc
2K6/wujNey/ClAiAIAjHkyKKIGvoGrpUrC4NG0aSRANJYiAxcHI4wht/hNdeaeGdl971n/hLfBJD
NRNkF0uNa7WepAipq8m6SORw8w7nniuSlQ7yB9gxo9wNx5lxkMovDHXUVIn9oyuKgcEaK7BEhld+
3o4WVYcpfh1M9V0tuR81QUHsoZs5ogbqnWj4my4fAESa69EHQIvjuXOD7Jqmbd/F68VaTS681brZ
4itLH8XhAg0k/FXkJSCy5nDQe8AStpTFuWGAmlVJ+0A8gsPMQnMcHykLC5RPrs6vi3heYRQX4YqE
q+JtHGckViAFeGrHrxHuivXdOQwYA1Yt0sXoOQAGaQ1Y0xs9z7PoacQRkSkiW2tAM7FIrdzRK6p1
mmGIBhB3Bg/nHkePBo5AUrF+egf0pjj+efoNXVmESYfMg4jVRXlMCz2rhcvfQm80nJXQXIq0MSZC
1I8X3neMbKbwGPKIu6timboDQ0flEMD+iQjN3rngHWwad7lNvESvSYyyiAKKRWql/VEyU9NFD5QY
UXfVb6KH1zp4y5O5eA6Kv0XUogjOxS1cg8+hOvQbwpB6KA5DC77LqOOi5eo5cMVqd94H3/JCUQb+
JjXXrgWsFbA9N8jLCFc+HwoK3oDaeVgr7oLrMODNTdv7AWExZxndzFfB2t+cuz5aKTmW1gIJwO5H
ZBVVJz5HS7quF1y4hjvy/LcmDBHXuHRSwSNu6coc3NU/jowt98N3SMNujRBlMu5qZPTnS3jkzrk2
AjnZoL3SNJ5ctBQj5iAfLyp4cmJnxBVFuxbRMwM2fjTaZjBO4PWgupO8PLAAwRbXdhsuXWRaqc7X
o5ZV9C4Z5U0ywKusbdr9deSbjmt1loobzPs5tLzgr+Xol4U2HnkN63KxFnRufAasD8iaEepVZ++8
lmE0Awspnc1sdO6A1Wc5mwHehlZQ6762Rtgu6KWIYLS3fbQYHPlzgHtH4Li2APRWust7NHPsLrWe
3kTOfXu+6CI6ukZxT9wa7XqtONnAN1htlmEnOddX7ZkS9bwmmkQaV63t1jWTgb7cKvPhqKU2jdUF
8BI8QeUcqqxbs/tZukBV9lN3jVrG+URDO0vk73UO0g3lcmVuuu2OtdFWgQgvzk110R24KfqAI76g
dVYcrhnXWnP0PFEAENj11/PRbN3p67uAz1GMg2bMXpsDsbRWkggJ+Dhdzi92mK35CjkzBYR/V+EC
sV9UTXoJ+iVca8tAHfm90Y7rCR80VzFSW0/LUajr67sICIGwdcVnnmME9zxqmbPgooOO3TBmUbLa
xuOjNdi25paH5gFJx1q1d7q2uOmirr+5YH7HmK9MpQc6tZk3usaxAgn5PdxfGExDZ+37+MUm8n7R
6HaFBsjh7lz00oLszTz2m9pT2AUIEWnLFNnoK/CJoPvY9chDu4s1m2+Wu7QNsH3kuG1AwYD52GKt
ZyBY67xb+AD4dHojtItpb69bwIDqcb+ZLJb+eL5YdZOVZUKz7JxxV99E7fQcxSQxWpWgHwhyxKmO
Cjz9usg3u2o3gGe9Xrn6ZsWCjd/ZKTOQNHTQD+bchEmyvdTFDZPcjnCA1fU5auuxqJfesh2o3sMi
BJXT6B1yz+vN7tIN8AubazNNgPg6X6TdJiIuHT2BDWyBwSDyOjcoZ0aDmsFiiWgEmP60nbKy3c46
WrWuZygsGvEL5EcNf/mTqkW62vzBR6sDdQAqu442t0zY6WGCMw6V7rznqCWLOxaSDG43uVCMGdRV
v52iThCVmX5rjotiFqDiYXWFRl5bs4P8LKLAiYWaANXs9iMPpaDqIJ4bu27rbdBdGXr7ykSoyu+s
etsAJlloowqgvQx/Bn1jx/EfwiYPm44FFtb5mms9FUzhK+12MY+9IBkgHmNqysDsAt7h9GN4kTuQ
jpizGWocxtt4uzRCpO1GrUC7WoueMWq3122tAfwdIFtrqi0bkWKkSe5RCTVbdS/1ruPoG9uHOxrz
ASpRdi1krRGTAy5lszbmXninOYuZvhqiG+kyCn9eKBwBx/tunoCItHCjdX5qhS5KEX5Zt32s8hYP
BEHD+grdX0SONs2TBUsNTR0WN4ANK/H2p6IxkYc4PuKTOihysdgIeagjt7/dATASWUXMooijQBfN
FBUMtxxsK1azuQH1US9czv1l53rJVSVBqH8eYhp6vgI8Wtg3m2139+S6K90BxhE26gLGRbJBOcBV
gVvQinwxML24lOIYzafnl7s8DodKj40OCAky7uC+TNpLkRUN8jatszx/Vwws6WzQ8b64qBDlE9dw
cc+BsVDAll3eFv2LZ0Vc3dHEzYZ4n9DvRag/9P0NrqYi/71qJU385DsbkSMCNEMkxc08nwbNI1Kd
Rb9ZYFpEIrKwGrfqiJvhAJH1WSvqO+2d8BOLmTbEvCPw7aMpsbB8s7t9iZsDZxQNHYC4unoZKidw
ivs4RlAMgsTSAGm0DjgvElIyTk4PHBMMgnqzn4MJi8ZA/hydKZJWL/doc/qj3IspPPGtOwJ91s8v
j6UCcQaOsgs6X+AqgScFDtSsIHs1hBN3I2NkornY2gWkEb0SRAp7gf6uWC3Q3SD6eFuEBXICD7iC
wtfLhvHtZPPPjh3e528ff/93/DwBdxbcBpQ6yT9+f8snURiHH5K/i197/lrlWxd2eMd8O65+Sfod
iC4e3WcJk34YBAlPtj+kdrR9sNHfKnn503yQeAchCPxzQfKIwGtFxKu+lL3HZwU17Ezo43Zhf/dm
EoKpVYzP4WHwpvjoavrdG9Fp59sDQdnLvCTAYxhwOoXkjvoNYCDYdS0dvfDwj/qmgb6KTvFx0+x8
g04MQHkLWu7iczxwbzI/NwcHozoyTy9/56U3yGdHTAHQpTXnQDO/0QWGHTj6/B2BU5XmwPwGLWK1
jqj+z/7JH/iqOXjFl543C4g/vWm2l7gd723Ik18op/FQwN5WAVwfaFUVXW9V+AoqqJm1N9Iviq2W
P+rT1vte2nnZsu99WG6D7LnFrxcvfDiU501z+FF57nLl8Ns/33tLA3wiSCoLImRgjjWQjil/xrds
oTIYIRw4VTrg1SZotv+Eb4nyPh2ULGjgpuI2wqZFmcmfb8d2tG63DUMd7DOoqYHljiu37lviIO0d
U+kM5/fk3qe/8RAfOaPlaC+5HbFo4m4H2dVVnEpxOX/35sy3Iz5hQWPI/JDtX2EKqgY+Defgrnu+
3V6S3rMjP51KYlUCscPQC/0waFzFHgumcTnO7OIlEG+FkzBu/PXatj04An879hjRuLbu5NwBw+ba
UdC4ZRFnATv2HB3Xft3nWEBbHJVN8A7nfMbLEYrpNyhk2lPs18SeNoYJ/hc3wg+NzOQM7JhLe6lL
sNjnkR1M3IawfA/lE8x+IX+IxnbZYmPDNs6CBOcx4ZPGTXX/CgrOugt+kTK/lCIWRfgKdWVe2iya
FruoId7hdtIPA+aVfycdQqVF8BbXwKONYQ+XYxdvkpUq1X0Vy0VUOfFZXLyO/ACCkd/Z64bFPHsa
BvJ+xVVZPuyo//AqnXrHU7uUks2JAfa+unPyxIKUJWkpKJcLc7qu3DuWRrJUijMrJvgXmwnlXw4x
G3EXDkLdEd/zZMLQ6uSYxlS6aC1S+wFskbKGeIULpMZtSaGhswzFAzwmz7mp15eKSyp2mecdnRcT
7m7deRky+OyNS9uzA/ZPjbN4YgOwiUteKJtHcWJhpExZw0oDV5ozVSHY/4/h3K7MGsL79V/qES67
PFqNYrTpinnSEqsawc78EcvL42zC0TEyDeSB6wRPODAy0f6u/iRbHl8s7Ch5tghLkUIp6FC6otUa
+KZNBfWDukFwG74P+J59csuDMGq8AyARuEXn2AHBQ/FkEN/qXeBM4VCItlwvH5hj/vrv46qDQwEt
mkrnYT+G8IL7chCCeOG7X8vVSeMkYl7lSiYw8WDIfwi90sYuF1Zsvg7oWpHGMDsdsEKg/aDePbn5
vt66I3Lxp1z20tiW1JneOqnOvt5KiBOo1j6B++M/HQT8wvhBDz7yzt7f86IH2suqLX/US3EDK8R1
33hAYKKUlalyAskDD5EOb8WmYbQv2iBQA3C7EtuHVbovmMIyugyDaRqxiot1cv+enuY7THDEnFQa
Mcrmyxf4ciflHvEMXxZrnhS7v2EHIlSFcPvvc+UpaG0q0s3/GGfuLErH8tzWXzCEJEDtwzLjr8ei
cTVqR/EEJ+WefDoUAsdEjBbHWT4dBGGoR9du9JiLbSyJVk9u49PnzmJbH97MkfBl+6R98Arpld1B
Ybj3QzCgVtRxh8DbLuUGjQd7kY49Pik3Wm4+lT99uSa6QHyPySFoUyEQm7KpDRKFhXT3mQRK+ZJB
8ZUDFLOgtAgm+i32cWX9FIqbGmGBBDtjWYlJiQbSdY0ANEJMYjtCKLiUlc0GUmq1Rd8DVZCEwsAI
S2FCNirByh+/fMPlcYxr0c0z06Z39orLGqRFcMjzp9ykE9mdQZPz+m+AaEvAp2yaDf8xHDNHniWV
YAUe02iez4+FfYl0yxFlmBGH1d1F+UQ98QDxpCR7I8ThG7lWQPhNXhmKtE4vwvmN3cYTjxx+VMmr
FKfj/fDFJxBs5B7i+zyS9JtKYSdbsGUnTN5SBoGKGzLZKlINAn9hKIKSA0QOkIlI5c1iEByDfHfC
hEncj796tr8tT69QRyBxLH+soY7EC9wyPMGWEUots0Omh/JboPHX84jhnP2tHLV4CQ3xt5O34tez
/IFiIECiwCj7pKdkbM5XCnZZcMBkq0dA0j4N8svy+VCbdlBNu4gOfnUF39qbyl2sdE7umtOmcH68
7oF/iOxM998KSwUYsnLE+a1P8CQpIixJFzC4utNjQQBCl40CrVEKzEafxYo+/wTorFelFS2AEMZj
m0lT8+wXn5L/9Q5wp6t122oXbIcKMkGoBUHuuW7sev9thOZ9KQohPWvwHLU4vTeBj4WBIPnxXQLj
7SEFNZ0kFTzA5Yb58mvk8eP/RHO+la0B7eQNuD+Tnybn2N/u4SqPTumrPi+2qTgXwCC060MM/3iK
/cwbswqsgEB9nQUIiEbStiHYi2ci4yJvRoVAGyLm7PBUgriIDoZ1lSwYLjGx2TVxaUc72wlRpS1N
CYXjg8GzqGJJEtzMPdQyCxhZOQ2Z6XXyeJ7WUn078Fk03xfbIZjrqwjTIKM3OgQbbhAjCSxPAgXk
xtrZE7cilmBuz/mBLUWRnD5nUWgf86dFI9O6hyS38Es5Ypd1CU70BR/DvAEobl+wSeD9XCDQE8S2
5FadTkScPhYXALayQBZLMQ+wryfSHWsSnAo07oT3KqkGFI6UU/3lNsEleLlYJE2C0iLQZVeTA+Wg
ULjCVwnz5NFSRMve2lFlgykqgcH1FgmCW7aVnXaF4ga6YcmqshvaBEfthiduWjVNFNhgtXXO0AtX
bF4dMsEc33DodcRF4sTmst/TJlDvNymKTsdhGjnlFGR2KUWK5zb0ppgTSS4FVBwhdyaHxMEFXT7l
yxXFrdDtpZhsEihyR3e2QFQLMwI+bn6vZbINAnsYkJ41k3UFxdUMlHnF6lEoklH3gineYZ40DRRh
mYcQt5x88FBuWD7myzeEONF2VbBCELMeZloT+Qs5vEzhdQwXAKiWry42Gsr1yh9rzASQnGNA60tJ
mWCSGpk1yijk8VI4ScM1T3b5qZOHTKCO36PlHlIyklyK+6OIzV0DnDkNZbexTbDnnmBciQoqC+XK
0thRyFn77hNJUDuwnUje0BRezdCOxpWzTVFKgESenZXsVEKJgELSKObEhWE0OVJdARpKgsvqGqXt
K2m2ARxudwCJrb2YH/9dqP9jrhlqnFHJbJpd0EOiixr6WJx83LEg2u+DllIBaq0dY/0DRtY+OC5u
O1FoUC610MYEh/gMGnPM+EwWTGBinkV+9RoluJN6LHA8wFtid38eKJya2y0T4SRJLMWA3bS6aATO
eC9KA5vvj1X086sbQLEYfIKprHcp3K9hxEU14VyysymuNxQAyFFQCt8IkFancS3+Mzx7KCc1s95b
BCt3hWj2QTGnQlEnBMny0imiTV/dPfGWLWTVoFCgDK+3kYNuIZWTAdrE+gPOSpexflGlfI2iuCmr
lD0mm2BjXLMdm7uHU0Jwrm9YBYKqEdgisHNYeHBEdIKYCuxKB01bJW2h6ARTDF9/ylcyrkrpENx1
EMxA9S6PmALCcmcvKq4zRRX7PZD1iGMeM/YUijzvPSJiBxuZImR+D7Yb1NMdYONaBLsOaCqHLaA2
ShWU+9EEu+PRZbwaW1FVgnP9yGZgiK3OtKoSnO5Hxtey3lcpLAwBrRRm4cGYKTTS+93YPjIdFEHN
J24nqBqRtgaFqnuHJHS4alwlKEVfNL5tDJIwCpO0OJn7jwNHLwU2t3jgNSpoY5dHeGT5R37soehQ
QWBDDBcASnvbY/oGnEQUts8tn07h2g9YnOxPWhsdZF9SDfErAUjFrA1dDmJKhFO+bTz/MccG7z8U
pYpgkTrpI59O5GW3CsMCRdz733/7j3jOtgzo4C3AcxjBJRsjAlquGt7kU5gZsKuO1iaIaDyCSDdq
3thIQkjyVVBLUiB3hjacgnm53eNv+5yFW/hLvPFDGkxlHK5p6IZKgcXth/NpiAl8ZHO4kVwuBTNF
MTRF4fc1S0ESIoETlBaKvA0aGoWmx5sT5P2bcZzuL03xDIK1R7jaOSKZ4Nq6QSce0DUcEX7y4vp6
gaVclUjwLxFZ/38lv8tVhLVP8VcO4KUKVVSGiWC1NL8Ey2ZtFxVwEMU5uYDbAzKliC+k8VJUu1wB
8S0JVQiOxVUcMVveuxS5Fox1KY2VIiHyNoymlSmgiHNfp2vUgUmjpaD4uLGBHpThzwrFNfoOeUJp
sB0CV/IHMLlKsUKQ8ZYPqZFxY+mUN84iVk1+UJBWDcGYK3moKkUkp0hgiTE3Bj4X5GiSLaJSVPL9
CAsEBa+BdJ2CtbP+jP9swx0pxWQeHwWE8C5sYNP9JW5U3T7kT8qHffkuuRCZ+sYwHU/hR4EhUTqK
bbVFoZYf02B8zF6HBYO2ERTAgLNx2rhNY2lHFtIJ5uhfHgbDwcPToP+vDbF5BJXhwf4H7ytYb7SO
AsZ7MKO224JE++V46dezPzSzhcRqef1nNsFn7A/g/AO8xQnWm3CCeooT3/lDkIB+EByg5bqIE2oc
Zg6KV36lN/dMcSiJzShmKsv/G+VWIoBZLrKWxEEahXIVd146UEtoHiA/Vq6T1ZvVkp2h6qs8Rjlp
Uy25eeD9yJg1mAgHVt1vW7Z34iTIN+Mxft1a47+HueBU4d/HuIorT0k/Ubi/NlaBPcMqG/FYHVL9
B/WAnANN6DAjQpUO6BGm6fqPu7XR9wnRF19eqmPk3QQPY44b2WPprTR0MMW/XQNsy6ahoKFD+fGR
q/y1q/Vc2gbWxaOQwWMU7Kfe7+vdUkI3v+aO2tvX/wh3kOeAiVq6LQhciDOR5ZKEnjQ/TscMe2ES
I3AviVUo5CJoL9vJJ2M1rxgsot5IWpfHSFzuFHkAy2XTfZkUOL2SAkagxwRJgyVylNJDtPKnI9rg
lYZJ3/bDCTwoaNXTzyPYgcB72FEou9ynbeDT62qBAR1dWMoJEetKQSvxXGmcmYTHaXkofEKLLezG
kx1NpaA3Ggl8Xu++doFnHKB7mUKnQ+DtDJztQvICKXLPgyVI40LoPe8IG/BpktDT22QANpIKSoMC
5DlIXB4uZHVNkTd4FNwsQEjJkiloly+QypGU62kqztOzewHAoHQNnIZtvkLoIS00Bebe+vjfid2Y
/uVqFVZYXRSKy+vaDrbSVAiQaO3DfMPHVatAOXRN9yydVyoJpNvCxJUuF2B8ScZbmQUKSqFbZCMd
FoOssRyhUPcKxTWCErMwkTOPCgluHWidtWR1KBQ8dEjXVoQS3Bi3uEgn1bIngs17C/J7cEGl0iWt
dAjwd7nkqketUFxzt+FO6N8qoRtFdfYdh4kv7WCKKyOTKt8XCgU1U87O3+zxOK7S6RMoioePv6ZB
pWmcQlHs+wDPRCb+USkgtUN7O3Ftz6skHijKiIu400EMUqWoJQb6wa5UxqkUtcRDwSnEGjc2gMb7
W1qlwAMPATqpYDNVirzqEKyukg2EbnPl4L/co3oMZS9N1Qis7eHH/wwbj6H/8deMkOM++vhfwYTL
cVpVI/AHkYThlVAeym8IZoUFu6qCVilSre+dgwNOUT/QA2oQQP/GOYsls0ilgPuj1xiv2PQqBdh4
gDiMoB8tl0uYRSrFBfvLgQ+Cft3lU778qPzC/TEbr2WNQZEqz3Xo4fmmqIXuAcL4CGNOAmQgpVd/
Os7GW7nAxgCuFgUKZrtroJgPivq0P/UV47BHgtV147L7byO22cvMY/vfHiAhIwjTX8WTdaqxZ+G3
ZcHCLPlT973g9dpigFvxUn8IgsSzyBEjkt33F4Gsr3QteyirqPBrUACCehHbyUeQ4poVOW5JG1E4
wZZoz1hR9xRA7sEEpNty3wYKksiiQx/s/Uowh0J5njNvLgAqx3AeBoHxdZGipFKOu7yYM3vlJh7C
cwUWX9oaCgV/lCiLQZ+BbXl5ZIEMiqaH93a10RxBZOB9lFYHq1KckCd4JTsQkUoLh37B5ax8zsI4
pvBfUfN97Nf27onikpl46PH4/f8BAAD//w==</cx:binary>
              </cx:geoCache>
            </cx:geography>
          </cx:layoutPr>
          <cx:valueColors>
            <cx:minColor>
              <a:schemeClr val="accent4">
                <a:lumMod val="60000"/>
                <a:lumOff val="40000"/>
              </a:schemeClr>
            </cx:minColor>
            <cx:maxColor>
              <a:schemeClr val="accent4">
                <a:lumMod val="50000"/>
              </a:schemeClr>
            </cx:maxColor>
          </cx:valueColors>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val">
        <cx:f>_xlchart.v1.5</cx:f>
      </cx:numDim>
    </cx:data>
  </cx:chartData>
  <cx:chart>
    <cx:plotArea>
      <cx:plotAreaRegion>
        <cx:series layoutId="waterfall" uniqueId="{F88AF3E0-1830-2945-8381-11D18E0EA4D2}">
          <cx:dataPt idx="0">
            <cx:spPr>
              <a:solidFill>
                <a:srgbClr val="0F9ED5">
                  <a:lumMod val="75000"/>
                </a:srgbClr>
              </a:solidFill>
            </cx:spPr>
          </cx:dataPt>
          <cx:dataPt idx="1">
            <cx:spPr>
              <a:solidFill>
                <a:sysClr val="window" lastClr="FFFFFF"/>
              </a:solidFill>
            </cx:spPr>
          </cx:dataPt>
          <cx:dataPt idx="2">
            <cx:spPr>
              <a:solidFill>
                <a:srgbClr val="0F9ED5">
                  <a:lumMod val="75000"/>
                </a:srgbClr>
              </a:solidFill>
            </cx:spPr>
          </cx:dataPt>
          <cx:dataPt idx="3">
            <cx:spPr>
              <a:solidFill>
                <a:sysClr val="window" lastClr="FFFFFF"/>
              </a:solidFill>
            </cx:spPr>
          </cx:dataPt>
          <cx:dataPt idx="4">
            <cx:spPr>
              <a:solidFill>
                <a:srgbClr val="0F9ED5">
                  <a:lumMod val="75000"/>
                </a:srgbClr>
              </a:solidFill>
            </cx:spPr>
          </cx:dataPt>
          <cx:dataId val="0"/>
          <cx:layoutPr>
            <cx:subtotals>
              <cx:idx val="0"/>
              <cx:idx val="2"/>
              <cx:idx val="4"/>
            </cx:subtotals>
          </cx:layoutPr>
        </cx:series>
      </cx:plotAreaRegion>
      <cx:axis id="0">
        <cx:catScaling gapWidth="0.5"/>
        <cx:tickLabels/>
        <cx:spPr>
          <a:ln>
            <a:noFill/>
          </a:ln>
        </cx:spPr>
        <cx:txPr>
          <a:bodyPr vertOverflow="overflow" horzOverflow="overflow" wrap="square" lIns="0" tIns="0" rIns="0" bIns="0"/>
          <a:lstStyle/>
          <a:p>
            <a:pPr algn="ctr" rtl="0">
              <a:defRPr sz="1100" b="1" i="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sz="1100" b="1">
              <a:solidFill>
                <a:schemeClr val="bg1"/>
              </a:solidFill>
              <a:latin typeface="Calibri" panose="020F0502020204030204" pitchFamily="34" charset="0"/>
              <a:cs typeface="Calibri" panose="020F0502020204030204" pitchFamily="34" charset="0"/>
            </a:endParaRPr>
          </a:p>
        </cx:txPr>
      </cx:axis>
      <cx:axis id="1">
        <cx:valScaling/>
        <cx:tickLabels/>
        <cx:numFmt formatCode="[$£-en-GB]#.##0" sourceLinked="0"/>
        <cx:spPr>
          <a:ln>
            <a:noFill/>
          </a:ln>
        </cx:spPr>
        <cx:txPr>
          <a:bodyPr vertOverflow="overflow" horzOverflow="overflow" wrap="square" lIns="0" tIns="0" rIns="0" bIns="0"/>
          <a:lstStyle/>
          <a:p>
            <a:pPr algn="ctr" rtl="0">
              <a:defRPr sz="1100" b="1" i="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sz="1100" b="1">
              <a:solidFill>
                <a:schemeClr val="bg1"/>
              </a:solidFill>
              <a:latin typeface="Calibri" panose="020F0502020204030204" pitchFamily="34" charset="0"/>
              <a:cs typeface="Calibri" panose="020F0502020204030204"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3" Type="http://schemas.openxmlformats.org/officeDocument/2006/relationships/chart" Target="../charts/chart2.xml"/><Relationship Id="rId7" Type="http://schemas.openxmlformats.org/officeDocument/2006/relationships/image" Target="../media/image1.png"/><Relationship Id="rId12" Type="http://schemas.openxmlformats.org/officeDocument/2006/relationships/image" Target="../media/image6.svg"/><Relationship Id="rId2" Type="http://schemas.microsoft.com/office/2014/relationships/chartEx" Target="../charts/chartEx1.xml"/><Relationship Id="rId16" Type="http://schemas.openxmlformats.org/officeDocument/2006/relationships/image" Target="../media/image10.svg"/><Relationship Id="rId1" Type="http://schemas.openxmlformats.org/officeDocument/2006/relationships/chart" Target="../charts/chart1.xml"/><Relationship Id="rId6" Type="http://schemas.openxmlformats.org/officeDocument/2006/relationships/chart" Target="../charts/chart4.xml"/><Relationship Id="rId11" Type="http://schemas.openxmlformats.org/officeDocument/2006/relationships/image" Target="../media/image5.png"/><Relationship Id="rId5" Type="http://schemas.openxmlformats.org/officeDocument/2006/relationships/chart" Target="../charts/chart3.xml"/><Relationship Id="rId15" Type="http://schemas.openxmlformats.org/officeDocument/2006/relationships/image" Target="../media/image9.png"/><Relationship Id="rId10" Type="http://schemas.openxmlformats.org/officeDocument/2006/relationships/image" Target="../media/image4.svg"/><Relationship Id="rId4" Type="http://schemas.microsoft.com/office/2014/relationships/chartEx" Target="../charts/chartEx2.xml"/><Relationship Id="rId9" Type="http://schemas.openxmlformats.org/officeDocument/2006/relationships/image" Target="../media/image3.png"/><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0</xdr:col>
      <xdr:colOff>50799</xdr:colOff>
      <xdr:row>0</xdr:row>
      <xdr:rowOff>38100</xdr:rowOff>
    </xdr:from>
    <xdr:to>
      <xdr:col>22</xdr:col>
      <xdr:colOff>362857</xdr:colOff>
      <xdr:row>42</xdr:row>
      <xdr:rowOff>15301</xdr:rowOff>
    </xdr:to>
    <xdr:sp macro="" textlink="">
      <xdr:nvSpPr>
        <xdr:cNvPr id="2" name="Rounded Rectangle 1">
          <a:extLst>
            <a:ext uri="{FF2B5EF4-FFF2-40B4-BE49-F238E27FC236}">
              <a16:creationId xmlns:a16="http://schemas.microsoft.com/office/drawing/2014/main" id="{28030623-9542-F8E5-EE90-68B7006F7EB0}"/>
            </a:ext>
          </a:extLst>
        </xdr:cNvPr>
        <xdr:cNvSpPr/>
      </xdr:nvSpPr>
      <xdr:spPr>
        <a:xfrm>
          <a:off x="50799" y="38100"/>
          <a:ext cx="18495233" cy="8443868"/>
        </a:xfrm>
        <a:prstGeom prst="roundRect">
          <a:avLst>
            <a:gd name="adj" fmla="val 0"/>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704948</xdr:colOff>
      <xdr:row>0</xdr:row>
      <xdr:rowOff>98998</xdr:rowOff>
    </xdr:from>
    <xdr:to>
      <xdr:col>22</xdr:col>
      <xdr:colOff>244751</xdr:colOff>
      <xdr:row>41</xdr:row>
      <xdr:rowOff>122410</xdr:rowOff>
    </xdr:to>
    <xdr:sp macro="" textlink="">
      <xdr:nvSpPr>
        <xdr:cNvPr id="3" name="Rounded Rectangle 2">
          <a:extLst>
            <a:ext uri="{FF2B5EF4-FFF2-40B4-BE49-F238E27FC236}">
              <a16:creationId xmlns:a16="http://schemas.microsoft.com/office/drawing/2014/main" id="{078DE60B-B2D3-88B6-B9FD-F7CF4B470D91}"/>
            </a:ext>
          </a:extLst>
        </xdr:cNvPr>
        <xdr:cNvSpPr/>
      </xdr:nvSpPr>
      <xdr:spPr>
        <a:xfrm>
          <a:off x="14674948" y="98998"/>
          <a:ext cx="3648627" cy="8446500"/>
        </a:xfrm>
        <a:prstGeom prst="roundRect">
          <a:avLst>
            <a:gd name="adj" fmla="val 2244"/>
          </a:avLst>
        </a:prstGeom>
        <a:solidFill>
          <a:schemeClr val="accent4">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127000</xdr:colOff>
      <xdr:row>0</xdr:row>
      <xdr:rowOff>101600</xdr:rowOff>
    </xdr:from>
    <xdr:to>
      <xdr:col>17</xdr:col>
      <xdr:colOff>578971</xdr:colOff>
      <xdr:row>41</xdr:row>
      <xdr:rowOff>137711</xdr:rowOff>
    </xdr:to>
    <xdr:sp macro="" textlink="">
      <xdr:nvSpPr>
        <xdr:cNvPr id="4" name="Rounded Rectangle 3">
          <a:extLst>
            <a:ext uri="{FF2B5EF4-FFF2-40B4-BE49-F238E27FC236}">
              <a16:creationId xmlns:a16="http://schemas.microsoft.com/office/drawing/2014/main" id="{0C21FD20-A282-4044-B24F-1B07DC3BEA0C}"/>
            </a:ext>
          </a:extLst>
        </xdr:cNvPr>
        <xdr:cNvSpPr/>
      </xdr:nvSpPr>
      <xdr:spPr>
        <a:xfrm>
          <a:off x="127000" y="101600"/>
          <a:ext cx="14557438" cy="8367311"/>
        </a:xfrm>
        <a:prstGeom prst="roundRect">
          <a:avLst>
            <a:gd name="adj" fmla="val 2168"/>
          </a:avLst>
        </a:prstGeom>
        <a:solidFill>
          <a:schemeClr val="accent4">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266700</xdr:colOff>
      <xdr:row>1</xdr:row>
      <xdr:rowOff>12700</xdr:rowOff>
    </xdr:from>
    <xdr:to>
      <xdr:col>6</xdr:col>
      <xdr:colOff>61452</xdr:colOff>
      <xdr:row>3</xdr:row>
      <xdr:rowOff>16309</xdr:rowOff>
    </xdr:to>
    <xdr:sp macro="" textlink="">
      <xdr:nvSpPr>
        <xdr:cNvPr id="5" name="Rounded Rectangle 4">
          <a:extLst>
            <a:ext uri="{FF2B5EF4-FFF2-40B4-BE49-F238E27FC236}">
              <a16:creationId xmlns:a16="http://schemas.microsoft.com/office/drawing/2014/main" id="{0E8A76FB-EABE-0943-9946-F3C6E6F1711B}"/>
            </a:ext>
          </a:extLst>
        </xdr:cNvPr>
        <xdr:cNvSpPr/>
      </xdr:nvSpPr>
      <xdr:spPr>
        <a:xfrm>
          <a:off x="266700" y="221207"/>
          <a:ext cx="4798931" cy="420624"/>
        </a:xfrm>
        <a:prstGeom prst="roundRect">
          <a:avLst>
            <a:gd name="adj" fmla="val 23078"/>
          </a:avLst>
        </a:prstGeom>
        <a:solidFill>
          <a:schemeClr val="accent4">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279400</xdr:colOff>
      <xdr:row>1</xdr:row>
      <xdr:rowOff>12699</xdr:rowOff>
    </xdr:from>
    <xdr:to>
      <xdr:col>17</xdr:col>
      <xdr:colOff>392206</xdr:colOff>
      <xdr:row>3</xdr:row>
      <xdr:rowOff>16308</xdr:rowOff>
    </xdr:to>
    <xdr:sp macro="" textlink="">
      <xdr:nvSpPr>
        <xdr:cNvPr id="6" name="Rounded Rectangle 5">
          <a:extLst>
            <a:ext uri="{FF2B5EF4-FFF2-40B4-BE49-F238E27FC236}">
              <a16:creationId xmlns:a16="http://schemas.microsoft.com/office/drawing/2014/main" id="{D64AFE6F-AE85-7C4F-BD2C-5A67A0D9BBC7}"/>
            </a:ext>
          </a:extLst>
        </xdr:cNvPr>
        <xdr:cNvSpPr/>
      </xdr:nvSpPr>
      <xdr:spPr>
        <a:xfrm>
          <a:off x="5257800" y="215899"/>
          <a:ext cx="9239873" cy="410009"/>
        </a:xfrm>
        <a:prstGeom prst="roundRect">
          <a:avLst>
            <a:gd name="adj" fmla="val 23078"/>
          </a:avLst>
        </a:prstGeom>
        <a:solidFill>
          <a:schemeClr val="accent4">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215900</xdr:colOff>
      <xdr:row>23</xdr:row>
      <xdr:rowOff>149413</xdr:rowOff>
    </xdr:from>
    <xdr:to>
      <xdr:col>5</xdr:col>
      <xdr:colOff>336176</xdr:colOff>
      <xdr:row>25</xdr:row>
      <xdr:rowOff>149412</xdr:rowOff>
    </xdr:to>
    <xdr:sp macro="" textlink="">
      <xdr:nvSpPr>
        <xdr:cNvPr id="7" name="Rounded Rectangle 6">
          <a:extLst>
            <a:ext uri="{FF2B5EF4-FFF2-40B4-BE49-F238E27FC236}">
              <a16:creationId xmlns:a16="http://schemas.microsoft.com/office/drawing/2014/main" id="{43DA274E-2133-8046-B7A4-01AD62A3BC70}"/>
            </a:ext>
          </a:extLst>
        </xdr:cNvPr>
        <xdr:cNvSpPr/>
      </xdr:nvSpPr>
      <xdr:spPr>
        <a:xfrm>
          <a:off x="215900" y="4874560"/>
          <a:ext cx="4229100" cy="410881"/>
        </a:xfrm>
        <a:prstGeom prst="roundRect">
          <a:avLst>
            <a:gd name="adj" fmla="val 23078"/>
          </a:avLst>
        </a:prstGeom>
        <a:solidFill>
          <a:schemeClr val="accent4">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36690</xdr:colOff>
      <xdr:row>1</xdr:row>
      <xdr:rowOff>63500</xdr:rowOff>
    </xdr:from>
    <xdr:to>
      <xdr:col>9</xdr:col>
      <xdr:colOff>731229</xdr:colOff>
      <xdr:row>2</xdr:row>
      <xdr:rowOff>102420</xdr:rowOff>
    </xdr:to>
    <xdr:sp macro="" textlink="">
      <xdr:nvSpPr>
        <xdr:cNvPr id="10" name="TextBox 9">
          <a:extLst>
            <a:ext uri="{FF2B5EF4-FFF2-40B4-BE49-F238E27FC236}">
              <a16:creationId xmlns:a16="http://schemas.microsoft.com/office/drawing/2014/main" id="{A3BA50B0-E54F-3919-1668-BDDF16F2D79C}"/>
            </a:ext>
          </a:extLst>
        </xdr:cNvPr>
        <xdr:cNvSpPr txBox="1"/>
      </xdr:nvSpPr>
      <xdr:spPr>
        <a:xfrm>
          <a:off x="5844823" y="266700"/>
          <a:ext cx="2354006" cy="242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Calibri" panose="020F0502020204030204" pitchFamily="34" charset="0"/>
              <a:cs typeface="Calibri" panose="020F0502020204030204" pitchFamily="34" charset="0"/>
            </a:rPr>
            <a:t>Revenue vs EBIDTA</a:t>
          </a:r>
        </a:p>
      </xdr:txBody>
    </xdr:sp>
    <xdr:clientData/>
  </xdr:twoCellAnchor>
  <xdr:twoCellAnchor>
    <xdr:from>
      <xdr:col>0</xdr:col>
      <xdr:colOff>777523</xdr:colOff>
      <xdr:row>1</xdr:row>
      <xdr:rowOff>50800</xdr:rowOff>
    </xdr:from>
    <xdr:to>
      <xdr:col>3</xdr:col>
      <xdr:colOff>74790</xdr:colOff>
      <xdr:row>2</xdr:row>
      <xdr:rowOff>139700</xdr:rowOff>
    </xdr:to>
    <xdr:sp macro="" textlink="">
      <xdr:nvSpPr>
        <xdr:cNvPr id="12" name="TextBox 11">
          <a:extLst>
            <a:ext uri="{FF2B5EF4-FFF2-40B4-BE49-F238E27FC236}">
              <a16:creationId xmlns:a16="http://schemas.microsoft.com/office/drawing/2014/main" id="{DC751EAE-0D7B-8C43-9E77-BD9E84AAF72A}"/>
            </a:ext>
          </a:extLst>
        </xdr:cNvPr>
        <xdr:cNvSpPr txBox="1"/>
      </xdr:nvSpPr>
      <xdr:spPr>
        <a:xfrm>
          <a:off x="777523" y="254000"/>
          <a:ext cx="1786467"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Calibri" panose="020F0502020204030204" pitchFamily="34" charset="0"/>
              <a:cs typeface="Calibri" panose="020F0502020204030204" pitchFamily="34" charset="0"/>
            </a:rPr>
            <a:t>Revenue</a:t>
          </a:r>
          <a:r>
            <a:rPr lang="en-US" sz="1400" b="1" baseline="0">
              <a:solidFill>
                <a:schemeClr val="bg1"/>
              </a:solidFill>
              <a:latin typeface="Calibri" panose="020F0502020204030204" pitchFamily="34" charset="0"/>
              <a:cs typeface="Calibri" panose="020F0502020204030204" pitchFamily="34" charset="0"/>
            </a:rPr>
            <a:t> by Country</a:t>
          </a:r>
          <a:endParaRPr lang="en-US" sz="1400" b="1">
            <a:solidFill>
              <a:schemeClr val="bg1"/>
            </a:solidFill>
            <a:latin typeface="Calibri" panose="020F0502020204030204" pitchFamily="34" charset="0"/>
            <a:cs typeface="Calibri" panose="020F0502020204030204" pitchFamily="34" charset="0"/>
          </a:endParaRPr>
        </a:p>
      </xdr:txBody>
    </xdr:sp>
    <xdr:clientData/>
  </xdr:twoCellAnchor>
  <xdr:twoCellAnchor>
    <xdr:from>
      <xdr:col>0</xdr:col>
      <xdr:colOff>726723</xdr:colOff>
      <xdr:row>23</xdr:row>
      <xdr:rowOff>200961</xdr:rowOff>
    </xdr:from>
    <xdr:to>
      <xdr:col>3</xdr:col>
      <xdr:colOff>23990</xdr:colOff>
      <xdr:row>25</xdr:row>
      <xdr:rowOff>84420</xdr:rowOff>
    </xdr:to>
    <xdr:sp macro="" textlink="">
      <xdr:nvSpPr>
        <xdr:cNvPr id="13" name="TextBox 12">
          <a:extLst>
            <a:ext uri="{FF2B5EF4-FFF2-40B4-BE49-F238E27FC236}">
              <a16:creationId xmlns:a16="http://schemas.microsoft.com/office/drawing/2014/main" id="{FC940A49-5674-AD46-BEC8-60B6FF1226A5}"/>
            </a:ext>
          </a:extLst>
        </xdr:cNvPr>
        <xdr:cNvSpPr txBox="1"/>
      </xdr:nvSpPr>
      <xdr:spPr>
        <a:xfrm>
          <a:off x="726723" y="4874561"/>
          <a:ext cx="1786467" cy="2898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Calibri" panose="020F0502020204030204" pitchFamily="34" charset="0"/>
              <a:cs typeface="Calibri" panose="020F0502020204030204" pitchFamily="34" charset="0"/>
            </a:rPr>
            <a:t>Margin</a:t>
          </a:r>
          <a:r>
            <a:rPr lang="en-US" sz="1400" b="1" baseline="0">
              <a:solidFill>
                <a:schemeClr val="bg1"/>
              </a:solidFill>
              <a:latin typeface="Calibri" panose="020F0502020204030204" pitchFamily="34" charset="0"/>
              <a:cs typeface="Calibri" panose="020F0502020204030204" pitchFamily="34" charset="0"/>
            </a:rPr>
            <a:t> Analysis</a:t>
          </a:r>
          <a:endParaRPr lang="en-US" sz="1400" b="1">
            <a:solidFill>
              <a:schemeClr val="bg1"/>
            </a:solidFill>
            <a:latin typeface="Calibri" panose="020F0502020204030204" pitchFamily="34" charset="0"/>
            <a:cs typeface="Calibri" panose="020F0502020204030204" pitchFamily="34" charset="0"/>
          </a:endParaRPr>
        </a:p>
      </xdr:txBody>
    </xdr:sp>
    <xdr:clientData/>
  </xdr:twoCellAnchor>
  <xdr:twoCellAnchor>
    <xdr:from>
      <xdr:col>5</xdr:col>
      <xdr:colOff>540855</xdr:colOff>
      <xdr:row>23</xdr:row>
      <xdr:rowOff>144184</xdr:rowOff>
    </xdr:from>
    <xdr:to>
      <xdr:col>11</xdr:col>
      <xdr:colOff>346122</xdr:colOff>
      <xdr:row>25</xdr:row>
      <xdr:rowOff>149412</xdr:rowOff>
    </xdr:to>
    <xdr:sp macro="" textlink="">
      <xdr:nvSpPr>
        <xdr:cNvPr id="14" name="Rounded Rectangle 13">
          <a:extLst>
            <a:ext uri="{FF2B5EF4-FFF2-40B4-BE49-F238E27FC236}">
              <a16:creationId xmlns:a16="http://schemas.microsoft.com/office/drawing/2014/main" id="{DB2FE886-6FD0-7440-9F10-F9C898C31379}"/>
            </a:ext>
          </a:extLst>
        </xdr:cNvPr>
        <xdr:cNvSpPr/>
      </xdr:nvSpPr>
      <xdr:spPr>
        <a:xfrm>
          <a:off x="4649679" y="4869331"/>
          <a:ext cx="4735855" cy="416110"/>
        </a:xfrm>
        <a:prstGeom prst="roundRect">
          <a:avLst>
            <a:gd name="adj" fmla="val 23078"/>
          </a:avLst>
        </a:prstGeom>
        <a:solidFill>
          <a:schemeClr val="accent4">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221946</xdr:colOff>
      <xdr:row>24</xdr:row>
      <xdr:rowOff>857</xdr:rowOff>
    </xdr:from>
    <xdr:to>
      <xdr:col>8</xdr:col>
      <xdr:colOff>348947</xdr:colOff>
      <xdr:row>25</xdr:row>
      <xdr:rowOff>85903</xdr:rowOff>
    </xdr:to>
    <xdr:sp macro="" textlink="">
      <xdr:nvSpPr>
        <xdr:cNvPr id="15" name="TextBox 14">
          <a:extLst>
            <a:ext uri="{FF2B5EF4-FFF2-40B4-BE49-F238E27FC236}">
              <a16:creationId xmlns:a16="http://schemas.microsoft.com/office/drawing/2014/main" id="{5814555D-57A4-B343-B509-D552F4251918}"/>
            </a:ext>
          </a:extLst>
        </xdr:cNvPr>
        <xdr:cNvSpPr txBox="1"/>
      </xdr:nvSpPr>
      <xdr:spPr>
        <a:xfrm>
          <a:off x="5200346" y="4877657"/>
          <a:ext cx="1786468" cy="2882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Calibri" panose="020F0502020204030204" pitchFamily="34" charset="0"/>
              <a:cs typeface="Calibri" panose="020F0502020204030204" pitchFamily="34" charset="0"/>
            </a:rPr>
            <a:t>Service Profitability</a:t>
          </a:r>
        </a:p>
      </xdr:txBody>
    </xdr:sp>
    <xdr:clientData/>
  </xdr:twoCellAnchor>
  <xdr:twoCellAnchor>
    <xdr:from>
      <xdr:col>11</xdr:col>
      <xdr:colOff>572982</xdr:colOff>
      <xdr:row>23</xdr:row>
      <xdr:rowOff>144186</xdr:rowOff>
    </xdr:from>
    <xdr:to>
      <xdr:col>17</xdr:col>
      <xdr:colOff>373528</xdr:colOff>
      <xdr:row>25</xdr:row>
      <xdr:rowOff>149412</xdr:rowOff>
    </xdr:to>
    <xdr:sp macro="" textlink="">
      <xdr:nvSpPr>
        <xdr:cNvPr id="16" name="Rounded Rectangle 15">
          <a:extLst>
            <a:ext uri="{FF2B5EF4-FFF2-40B4-BE49-F238E27FC236}">
              <a16:creationId xmlns:a16="http://schemas.microsoft.com/office/drawing/2014/main" id="{88878BBF-EFB1-4F46-82C3-851A823E5C9D}"/>
            </a:ext>
          </a:extLst>
        </xdr:cNvPr>
        <xdr:cNvSpPr/>
      </xdr:nvSpPr>
      <xdr:spPr>
        <a:xfrm>
          <a:off x="9612394" y="4869333"/>
          <a:ext cx="4731134" cy="416108"/>
        </a:xfrm>
        <a:prstGeom prst="roundRect">
          <a:avLst>
            <a:gd name="adj" fmla="val 23078"/>
          </a:avLst>
        </a:prstGeom>
        <a:solidFill>
          <a:schemeClr val="accent4">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254072</xdr:colOff>
      <xdr:row>24</xdr:row>
      <xdr:rowOff>857</xdr:rowOff>
    </xdr:from>
    <xdr:to>
      <xdr:col>14</xdr:col>
      <xdr:colOff>381071</xdr:colOff>
      <xdr:row>25</xdr:row>
      <xdr:rowOff>85903</xdr:rowOff>
    </xdr:to>
    <xdr:sp macro="" textlink="">
      <xdr:nvSpPr>
        <xdr:cNvPr id="17" name="TextBox 16">
          <a:extLst>
            <a:ext uri="{FF2B5EF4-FFF2-40B4-BE49-F238E27FC236}">
              <a16:creationId xmlns:a16="http://schemas.microsoft.com/office/drawing/2014/main" id="{7C67CE2F-6B73-EA4C-BFAB-16116C65083B}"/>
            </a:ext>
          </a:extLst>
        </xdr:cNvPr>
        <xdr:cNvSpPr txBox="1"/>
      </xdr:nvSpPr>
      <xdr:spPr>
        <a:xfrm>
          <a:off x="10210872" y="4877657"/>
          <a:ext cx="1786466" cy="2882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Calibri" panose="020F0502020204030204" pitchFamily="34" charset="0"/>
              <a:cs typeface="Calibri" panose="020F0502020204030204" pitchFamily="34" charset="0"/>
            </a:rPr>
            <a:t>EBIDTA Bridge</a:t>
          </a:r>
        </a:p>
      </xdr:txBody>
    </xdr:sp>
    <xdr:clientData/>
  </xdr:twoCellAnchor>
  <xdr:twoCellAnchor>
    <xdr:from>
      <xdr:col>6</xdr:col>
      <xdr:colOff>292100</xdr:colOff>
      <xdr:row>3</xdr:row>
      <xdr:rowOff>139700</xdr:rowOff>
    </xdr:from>
    <xdr:to>
      <xdr:col>17</xdr:col>
      <xdr:colOff>373529</xdr:colOff>
      <xdr:row>22</xdr:row>
      <xdr:rowOff>63500</xdr:rowOff>
    </xdr:to>
    <xdr:graphicFrame macro="">
      <xdr:nvGraphicFramePr>
        <xdr:cNvPr id="18" name="Chart 17">
          <a:extLst>
            <a:ext uri="{FF2B5EF4-FFF2-40B4-BE49-F238E27FC236}">
              <a16:creationId xmlns:a16="http://schemas.microsoft.com/office/drawing/2014/main" id="{C2ABB6AC-57D2-3043-BDB9-23F1A4A9DA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151190</xdr:colOff>
      <xdr:row>3</xdr:row>
      <xdr:rowOff>153012</xdr:rowOff>
    </xdr:from>
    <xdr:to>
      <xdr:col>6</xdr:col>
      <xdr:colOff>0</xdr:colOff>
      <xdr:row>21</xdr:row>
      <xdr:rowOff>19586</xdr:rowOff>
    </xdr:to>
    <mc:AlternateContent xmlns:mc="http://schemas.openxmlformats.org/markup-compatibility/2006">
      <mc:Choice xmlns:cx4="http://schemas.microsoft.com/office/drawing/2016/5/10/chartex" Requires="cx4">
        <xdr:graphicFrame macro="">
          <xdr:nvGraphicFramePr>
            <xdr:cNvPr id="20" name="Chart 19">
              <a:extLst>
                <a:ext uri="{FF2B5EF4-FFF2-40B4-BE49-F238E27FC236}">
                  <a16:creationId xmlns:a16="http://schemas.microsoft.com/office/drawing/2014/main" id="{2276CC4E-A467-9E4E-8F7E-1BA9823CFD5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51190" y="762612"/>
              <a:ext cx="4801810" cy="352417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18</xdr:col>
      <xdr:colOff>12565</xdr:colOff>
      <xdr:row>1</xdr:row>
      <xdr:rowOff>42119</xdr:rowOff>
    </xdr:from>
    <xdr:to>
      <xdr:col>19</xdr:col>
      <xdr:colOff>795410</xdr:colOff>
      <xdr:row>8</xdr:row>
      <xdr:rowOff>28423</xdr:rowOff>
    </xdr:to>
    <mc:AlternateContent xmlns:mc="http://schemas.openxmlformats.org/markup-compatibility/2006" xmlns:a14="http://schemas.microsoft.com/office/drawing/2010/main">
      <mc:Choice Requires="a14">
        <xdr:graphicFrame macro="">
          <xdr:nvGraphicFramePr>
            <xdr:cNvPr id="21" name="Service">
              <a:extLst>
                <a:ext uri="{FF2B5EF4-FFF2-40B4-BE49-F238E27FC236}">
                  <a16:creationId xmlns:a16="http://schemas.microsoft.com/office/drawing/2014/main" id="{ADFF3912-4320-3ACE-5C93-F35E9C45B15C}"/>
                </a:ext>
              </a:extLst>
            </xdr:cNvPr>
            <xdr:cNvGraphicFramePr/>
          </xdr:nvGraphicFramePr>
          <xdr:xfrm>
            <a:off x="0" y="0"/>
            <a:ext cx="0" cy="0"/>
          </xdr:xfrm>
          <a:graphic>
            <a:graphicData uri="http://schemas.microsoft.com/office/drawing/2010/slicer">
              <sle:slicer xmlns:sle="http://schemas.microsoft.com/office/drawing/2010/slicer" name="Service"/>
            </a:graphicData>
          </a:graphic>
        </xdr:graphicFrame>
      </mc:Choice>
      <mc:Fallback xmlns="">
        <xdr:sp macro="" textlink="">
          <xdr:nvSpPr>
            <xdr:cNvPr id="0" name=""/>
            <xdr:cNvSpPr>
              <a:spLocks noTextEdit="1"/>
            </xdr:cNvSpPr>
          </xdr:nvSpPr>
          <xdr:spPr>
            <a:xfrm>
              <a:off x="14947765" y="245319"/>
              <a:ext cx="1612578" cy="14087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125230</xdr:colOff>
      <xdr:row>1</xdr:row>
      <xdr:rowOff>36655</xdr:rowOff>
    </xdr:from>
    <xdr:to>
      <xdr:col>22</xdr:col>
      <xdr:colOff>83714</xdr:colOff>
      <xdr:row>8</xdr:row>
      <xdr:rowOff>19957</xdr:rowOff>
    </xdr:to>
    <mc:AlternateContent xmlns:mc="http://schemas.openxmlformats.org/markup-compatibility/2006" xmlns:a14="http://schemas.microsoft.com/office/drawing/2010/main">
      <mc:Choice Requires="a14">
        <xdr:graphicFrame macro="">
          <xdr:nvGraphicFramePr>
            <xdr:cNvPr id="22" name="Customer Type">
              <a:extLst>
                <a:ext uri="{FF2B5EF4-FFF2-40B4-BE49-F238E27FC236}">
                  <a16:creationId xmlns:a16="http://schemas.microsoft.com/office/drawing/2014/main" id="{CE06180E-051D-74CE-CE86-5C0F917C092A}"/>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16719897" y="239855"/>
              <a:ext cx="1617950" cy="14057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466992</xdr:colOff>
      <xdr:row>26</xdr:row>
      <xdr:rowOff>77131</xdr:rowOff>
    </xdr:from>
    <xdr:to>
      <xdr:col>11</xdr:col>
      <xdr:colOff>361889</xdr:colOff>
      <xdr:row>40</xdr:row>
      <xdr:rowOff>195569</xdr:rowOff>
    </xdr:to>
    <xdr:graphicFrame macro="">
      <xdr:nvGraphicFramePr>
        <xdr:cNvPr id="23" name="Chart 22">
          <a:extLst>
            <a:ext uri="{FF2B5EF4-FFF2-40B4-BE49-F238E27FC236}">
              <a16:creationId xmlns:a16="http://schemas.microsoft.com/office/drawing/2014/main" id="{F6A1F242-6131-9D48-9533-6A96C3C030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622966</xdr:colOff>
      <xdr:row>26</xdr:row>
      <xdr:rowOff>99803</xdr:rowOff>
    </xdr:from>
    <xdr:to>
      <xdr:col>17</xdr:col>
      <xdr:colOff>318980</xdr:colOff>
      <xdr:row>39</xdr:row>
      <xdr:rowOff>201403</xdr:rowOff>
    </xdr:to>
    <mc:AlternateContent xmlns:mc="http://schemas.openxmlformats.org/markup-compatibility/2006">
      <mc:Choice xmlns:cx1="http://schemas.microsoft.com/office/drawing/2015/9/8/chartex" Requires="cx1">
        <xdr:graphicFrame macro="">
          <xdr:nvGraphicFramePr>
            <xdr:cNvPr id="24" name="Chart 23">
              <a:extLst>
                <a:ext uri="{FF2B5EF4-FFF2-40B4-BE49-F238E27FC236}">
                  <a16:creationId xmlns:a16="http://schemas.microsoft.com/office/drawing/2014/main" id="{854530C0-8A00-DC4B-A8F0-B8F9B21E82C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9703466" y="5383003"/>
              <a:ext cx="4649014"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298824</xdr:colOff>
      <xdr:row>28</xdr:row>
      <xdr:rowOff>112056</xdr:rowOff>
    </xdr:from>
    <xdr:to>
      <xdr:col>2</xdr:col>
      <xdr:colOff>448236</xdr:colOff>
      <xdr:row>39</xdr:row>
      <xdr:rowOff>130734</xdr:rowOff>
    </xdr:to>
    <xdr:graphicFrame macro="">
      <xdr:nvGraphicFramePr>
        <xdr:cNvPr id="25" name="Chart 24">
          <a:extLst>
            <a:ext uri="{FF2B5EF4-FFF2-40B4-BE49-F238E27FC236}">
              <a16:creationId xmlns:a16="http://schemas.microsoft.com/office/drawing/2014/main" id="{3036C3A5-BA21-6548-B341-86E15CC390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616324</xdr:colOff>
      <xdr:row>28</xdr:row>
      <xdr:rowOff>74706</xdr:rowOff>
    </xdr:from>
    <xdr:to>
      <xdr:col>5</xdr:col>
      <xdr:colOff>12450</xdr:colOff>
      <xdr:row>39</xdr:row>
      <xdr:rowOff>130736</xdr:rowOff>
    </xdr:to>
    <xdr:graphicFrame macro="">
      <xdr:nvGraphicFramePr>
        <xdr:cNvPr id="26" name="Chart 25">
          <a:extLst>
            <a:ext uri="{FF2B5EF4-FFF2-40B4-BE49-F238E27FC236}">
              <a16:creationId xmlns:a16="http://schemas.microsoft.com/office/drawing/2014/main" id="{E4A43379-9C99-DA4D-ACEC-DB071F4B15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537633</xdr:colOff>
      <xdr:row>27</xdr:row>
      <xdr:rowOff>73710</xdr:rowOff>
    </xdr:from>
    <xdr:to>
      <xdr:col>2</xdr:col>
      <xdr:colOff>664633</xdr:colOff>
      <xdr:row>28</xdr:row>
      <xdr:rowOff>162610</xdr:rowOff>
    </xdr:to>
    <xdr:sp macro="" textlink="">
      <xdr:nvSpPr>
        <xdr:cNvPr id="27" name="TextBox 26">
          <a:extLst>
            <a:ext uri="{FF2B5EF4-FFF2-40B4-BE49-F238E27FC236}">
              <a16:creationId xmlns:a16="http://schemas.microsoft.com/office/drawing/2014/main" id="{B4F6DB23-D57E-3C4A-ABF6-D9B24E2166FC}"/>
            </a:ext>
          </a:extLst>
        </xdr:cNvPr>
        <xdr:cNvSpPr txBox="1"/>
      </xdr:nvSpPr>
      <xdr:spPr>
        <a:xfrm>
          <a:off x="537633" y="5620622"/>
          <a:ext cx="1770529" cy="2943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Calibri" panose="020F0502020204030204" pitchFamily="34" charset="0"/>
              <a:cs typeface="Calibri" panose="020F0502020204030204" pitchFamily="34" charset="0"/>
            </a:rPr>
            <a:t>Gross Margin</a:t>
          </a:r>
        </a:p>
      </xdr:txBody>
    </xdr:sp>
    <xdr:clientData/>
  </xdr:twoCellAnchor>
  <xdr:twoCellAnchor>
    <xdr:from>
      <xdr:col>3</xdr:col>
      <xdr:colOff>42581</xdr:colOff>
      <xdr:row>27</xdr:row>
      <xdr:rowOff>77944</xdr:rowOff>
    </xdr:from>
    <xdr:to>
      <xdr:col>5</xdr:col>
      <xdr:colOff>169581</xdr:colOff>
      <xdr:row>28</xdr:row>
      <xdr:rowOff>166844</xdr:rowOff>
    </xdr:to>
    <xdr:sp macro="" textlink="">
      <xdr:nvSpPr>
        <xdr:cNvPr id="28" name="TextBox 27">
          <a:extLst>
            <a:ext uri="{FF2B5EF4-FFF2-40B4-BE49-F238E27FC236}">
              <a16:creationId xmlns:a16="http://schemas.microsoft.com/office/drawing/2014/main" id="{8196B8EB-CAEA-184D-A39D-2195993A7680}"/>
            </a:ext>
          </a:extLst>
        </xdr:cNvPr>
        <xdr:cNvSpPr txBox="1"/>
      </xdr:nvSpPr>
      <xdr:spPr>
        <a:xfrm>
          <a:off x="2507875" y="5624856"/>
          <a:ext cx="1770530" cy="2943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Calibri" panose="020F0502020204030204" pitchFamily="34" charset="0"/>
              <a:cs typeface="Calibri" panose="020F0502020204030204" pitchFamily="34" charset="0"/>
            </a:rPr>
            <a:t>EBIDTA</a:t>
          </a:r>
          <a:r>
            <a:rPr lang="en-US" sz="1400" b="1" baseline="0">
              <a:solidFill>
                <a:schemeClr val="bg1"/>
              </a:solidFill>
              <a:latin typeface="Calibri" panose="020F0502020204030204" pitchFamily="34" charset="0"/>
              <a:cs typeface="Calibri" panose="020F0502020204030204" pitchFamily="34" charset="0"/>
            </a:rPr>
            <a:t> Margin</a:t>
          </a:r>
          <a:endParaRPr lang="en-US" sz="1400" b="1">
            <a:solidFill>
              <a:schemeClr val="bg1"/>
            </a:solidFill>
            <a:latin typeface="Calibri" panose="020F0502020204030204" pitchFamily="34" charset="0"/>
            <a:cs typeface="Calibri" panose="020F0502020204030204" pitchFamily="34" charset="0"/>
          </a:endParaRPr>
        </a:p>
      </xdr:txBody>
    </xdr:sp>
    <xdr:clientData/>
  </xdr:twoCellAnchor>
  <xdr:twoCellAnchor>
    <xdr:from>
      <xdr:col>0</xdr:col>
      <xdr:colOff>785656</xdr:colOff>
      <xdr:row>32</xdr:row>
      <xdr:rowOff>162112</xdr:rowOff>
    </xdr:from>
    <xdr:to>
      <xdr:col>1</xdr:col>
      <xdr:colOff>800099</xdr:colOff>
      <xdr:row>35</xdr:row>
      <xdr:rowOff>12700</xdr:rowOff>
    </xdr:to>
    <xdr:sp macro="" textlink="'Input Data'!P10">
      <xdr:nvSpPr>
        <xdr:cNvPr id="29" name="TextBox 28">
          <a:extLst>
            <a:ext uri="{FF2B5EF4-FFF2-40B4-BE49-F238E27FC236}">
              <a16:creationId xmlns:a16="http://schemas.microsoft.com/office/drawing/2014/main" id="{695139EA-5B45-264F-A533-A1AD93C46B79}"/>
            </a:ext>
          </a:extLst>
        </xdr:cNvPr>
        <xdr:cNvSpPr txBox="1"/>
      </xdr:nvSpPr>
      <xdr:spPr>
        <a:xfrm>
          <a:off x="785656" y="6664512"/>
          <a:ext cx="839943" cy="4601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1F0CC46-039B-5B4E-92AC-3EFAC41569B8}" type="TxLink">
            <a:rPr lang="en-US" sz="2400" b="1" i="0" u="none" strike="noStrike">
              <a:solidFill>
                <a:schemeClr val="bg1"/>
              </a:solidFill>
              <a:latin typeface="Calibri" panose="020F0502020204030204" pitchFamily="34" charset="0"/>
              <a:cs typeface="Calibri" panose="020F0502020204030204" pitchFamily="34" charset="0"/>
            </a:rPr>
            <a:pPr algn="ctr"/>
            <a:t>60%</a:t>
          </a:fld>
          <a:endParaRPr lang="en-US" sz="2400" b="1">
            <a:solidFill>
              <a:schemeClr val="bg1"/>
            </a:solidFill>
            <a:latin typeface="Calibri" panose="020F0502020204030204" pitchFamily="34" charset="0"/>
            <a:cs typeface="Calibri" panose="020F0502020204030204" pitchFamily="34" charset="0"/>
          </a:endParaRPr>
        </a:p>
      </xdr:txBody>
    </xdr:sp>
    <xdr:clientData/>
  </xdr:twoCellAnchor>
  <xdr:twoCellAnchor>
    <xdr:from>
      <xdr:col>3</xdr:col>
      <xdr:colOff>303056</xdr:colOff>
      <xdr:row>32</xdr:row>
      <xdr:rowOff>136712</xdr:rowOff>
    </xdr:from>
    <xdr:to>
      <xdr:col>4</xdr:col>
      <xdr:colOff>317499</xdr:colOff>
      <xdr:row>34</xdr:row>
      <xdr:rowOff>190500</xdr:rowOff>
    </xdr:to>
    <xdr:sp macro="" textlink="'Input Data'!P21">
      <xdr:nvSpPr>
        <xdr:cNvPr id="30" name="TextBox 29">
          <a:extLst>
            <a:ext uri="{FF2B5EF4-FFF2-40B4-BE49-F238E27FC236}">
              <a16:creationId xmlns:a16="http://schemas.microsoft.com/office/drawing/2014/main" id="{A9C1B9BF-1009-884F-9D18-224D535D2380}"/>
            </a:ext>
          </a:extLst>
        </xdr:cNvPr>
        <xdr:cNvSpPr txBox="1"/>
      </xdr:nvSpPr>
      <xdr:spPr>
        <a:xfrm>
          <a:off x="2779556" y="6639112"/>
          <a:ext cx="839943" cy="4601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B2B5B65-2BA5-244A-B8E9-D2F74824BEF1}" type="TxLink">
            <a:rPr lang="en-US" sz="2400" b="1" i="0" u="none" strike="noStrike">
              <a:solidFill>
                <a:schemeClr val="bg1"/>
              </a:solidFill>
              <a:latin typeface="Calibri" panose="020F0502020204030204" pitchFamily="34" charset="0"/>
              <a:cs typeface="Calibri" panose="020F0502020204030204" pitchFamily="34" charset="0"/>
            </a:rPr>
            <a:pPr algn="ctr"/>
            <a:t>16%</a:t>
          </a:fld>
          <a:endParaRPr lang="en-US" sz="2400" b="1">
            <a:solidFill>
              <a:schemeClr val="bg1"/>
            </a:solidFill>
            <a:latin typeface="Calibri" panose="020F0502020204030204" pitchFamily="34" charset="0"/>
            <a:cs typeface="Calibri" panose="020F0502020204030204" pitchFamily="34" charset="0"/>
          </a:endParaRPr>
        </a:p>
      </xdr:txBody>
    </xdr:sp>
    <xdr:clientData/>
  </xdr:twoCellAnchor>
  <xdr:twoCellAnchor editAs="oneCell">
    <xdr:from>
      <xdr:col>6</xdr:col>
      <xdr:colOff>398199</xdr:colOff>
      <xdr:row>1</xdr:row>
      <xdr:rowOff>20902</xdr:rowOff>
    </xdr:from>
    <xdr:to>
      <xdr:col>6</xdr:col>
      <xdr:colOff>791131</xdr:colOff>
      <xdr:row>3</xdr:row>
      <xdr:rowOff>7817</xdr:rowOff>
    </xdr:to>
    <xdr:pic>
      <xdr:nvPicPr>
        <xdr:cNvPr id="34" name="Graphic 33" descr="Coins outline">
          <a:extLst>
            <a:ext uri="{FF2B5EF4-FFF2-40B4-BE49-F238E27FC236}">
              <a16:creationId xmlns:a16="http://schemas.microsoft.com/office/drawing/2014/main" id="{001EA3CC-4C78-CC5B-F72A-C07B86735B3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359137" y="225954"/>
          <a:ext cx="392932" cy="397019"/>
        </a:xfrm>
        <a:prstGeom prst="rect">
          <a:avLst/>
        </a:prstGeom>
      </xdr:spPr>
    </xdr:pic>
    <xdr:clientData/>
  </xdr:twoCellAnchor>
  <xdr:twoCellAnchor editAs="oneCell">
    <xdr:from>
      <xdr:col>11</xdr:col>
      <xdr:colOff>677333</xdr:colOff>
      <xdr:row>23</xdr:row>
      <xdr:rowOff>135467</xdr:rowOff>
    </xdr:from>
    <xdr:to>
      <xdr:col>12</xdr:col>
      <xdr:colOff>240792</xdr:colOff>
      <xdr:row>25</xdr:row>
      <xdr:rowOff>122259</xdr:rowOff>
    </xdr:to>
    <xdr:pic>
      <xdr:nvPicPr>
        <xdr:cNvPr id="36" name="Graphic 35" descr="Money with solid fill">
          <a:extLst>
            <a:ext uri="{FF2B5EF4-FFF2-40B4-BE49-F238E27FC236}">
              <a16:creationId xmlns:a16="http://schemas.microsoft.com/office/drawing/2014/main" id="{9BF42E39-8FEB-E7C0-5E06-6BADC4718D76}"/>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9804400" y="4809067"/>
          <a:ext cx="393192" cy="393192"/>
        </a:xfrm>
        <a:prstGeom prst="rect">
          <a:avLst/>
        </a:prstGeom>
      </xdr:spPr>
    </xdr:pic>
    <xdr:clientData/>
  </xdr:twoCellAnchor>
  <xdr:twoCellAnchor editAs="oneCell">
    <xdr:from>
      <xdr:col>0</xdr:col>
      <xdr:colOff>377785</xdr:colOff>
      <xdr:row>1</xdr:row>
      <xdr:rowOff>24114</xdr:rowOff>
    </xdr:from>
    <xdr:to>
      <xdr:col>0</xdr:col>
      <xdr:colOff>770977</xdr:colOff>
      <xdr:row>3</xdr:row>
      <xdr:rowOff>10906</xdr:rowOff>
    </xdr:to>
    <xdr:pic>
      <xdr:nvPicPr>
        <xdr:cNvPr id="38" name="Graphic 37" descr="Target with solid fill">
          <a:extLst>
            <a:ext uri="{FF2B5EF4-FFF2-40B4-BE49-F238E27FC236}">
              <a16:creationId xmlns:a16="http://schemas.microsoft.com/office/drawing/2014/main" id="{3B032CC6-17CA-267D-729F-EE8DC0CC8D0C}"/>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377785" y="225063"/>
          <a:ext cx="393192" cy="388691"/>
        </a:xfrm>
        <a:prstGeom prst="rect">
          <a:avLst/>
        </a:prstGeom>
      </xdr:spPr>
    </xdr:pic>
    <xdr:clientData/>
  </xdr:twoCellAnchor>
  <xdr:twoCellAnchor editAs="oneCell">
    <xdr:from>
      <xdr:col>5</xdr:col>
      <xdr:colOff>660399</xdr:colOff>
      <xdr:row>23</xdr:row>
      <xdr:rowOff>169333</xdr:rowOff>
    </xdr:from>
    <xdr:to>
      <xdr:col>6</xdr:col>
      <xdr:colOff>223858</xdr:colOff>
      <xdr:row>25</xdr:row>
      <xdr:rowOff>156125</xdr:rowOff>
    </xdr:to>
    <xdr:pic>
      <xdr:nvPicPr>
        <xdr:cNvPr id="40" name="Graphic 39" descr="Research with solid fill">
          <a:extLst>
            <a:ext uri="{FF2B5EF4-FFF2-40B4-BE49-F238E27FC236}">
              <a16:creationId xmlns:a16="http://schemas.microsoft.com/office/drawing/2014/main" id="{0C1D86DD-5BD1-3BBD-DAD4-FB821BAB77A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4809066" y="4842933"/>
          <a:ext cx="393192" cy="393192"/>
        </a:xfrm>
        <a:prstGeom prst="rect">
          <a:avLst/>
        </a:prstGeom>
      </xdr:spPr>
    </xdr:pic>
    <xdr:clientData/>
  </xdr:twoCellAnchor>
  <xdr:twoCellAnchor editAs="oneCell">
    <xdr:from>
      <xdr:col>0</xdr:col>
      <xdr:colOff>336266</xdr:colOff>
      <xdr:row>23</xdr:row>
      <xdr:rowOff>183866</xdr:rowOff>
    </xdr:from>
    <xdr:to>
      <xdr:col>0</xdr:col>
      <xdr:colOff>729458</xdr:colOff>
      <xdr:row>25</xdr:row>
      <xdr:rowOff>170658</xdr:rowOff>
    </xdr:to>
    <xdr:pic>
      <xdr:nvPicPr>
        <xdr:cNvPr id="42" name="Graphic 41" descr="Presentation with pie chart with solid fill">
          <a:extLst>
            <a:ext uri="{FF2B5EF4-FFF2-40B4-BE49-F238E27FC236}">
              <a16:creationId xmlns:a16="http://schemas.microsoft.com/office/drawing/2014/main" id="{34CC51BE-A7E2-1A58-A8F4-3F7567E6FBD8}"/>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336266" y="4857466"/>
          <a:ext cx="393192" cy="393192"/>
        </a:xfrm>
        <a:prstGeom prst="rect">
          <a:avLst/>
        </a:prstGeom>
      </xdr:spPr>
    </xdr:pic>
    <xdr:clientData/>
  </xdr:twoCellAnchor>
  <xdr:twoCellAnchor editAs="oneCell">
    <xdr:from>
      <xdr:col>18</xdr:col>
      <xdr:colOff>24191</xdr:colOff>
      <xdr:row>9</xdr:row>
      <xdr:rowOff>17537</xdr:rowOff>
    </xdr:from>
    <xdr:to>
      <xdr:col>22</xdr:col>
      <xdr:colOff>90714</xdr:colOff>
      <xdr:row>19</xdr:row>
      <xdr:rowOff>75594</xdr:rowOff>
    </xdr:to>
    <mc:AlternateContent xmlns:mc="http://schemas.openxmlformats.org/markup-compatibility/2006" xmlns:a14="http://schemas.microsoft.com/office/drawing/2010/main">
      <mc:Choice Requires="a14">
        <xdr:graphicFrame macro="">
          <xdr:nvGraphicFramePr>
            <xdr:cNvPr id="45" name="Year">
              <a:extLst>
                <a:ext uri="{FF2B5EF4-FFF2-40B4-BE49-F238E27FC236}">
                  <a16:creationId xmlns:a16="http://schemas.microsoft.com/office/drawing/2014/main" id="{205EABCD-7301-FB3C-31F0-BFF9AFD8ED5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4959391" y="1846337"/>
              <a:ext cx="3385456" cy="20900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31819</xdr:colOff>
      <xdr:row>20</xdr:row>
      <xdr:rowOff>43562</xdr:rowOff>
    </xdr:from>
    <xdr:to>
      <xdr:col>22</xdr:col>
      <xdr:colOff>95592</xdr:colOff>
      <xdr:row>24</xdr:row>
      <xdr:rowOff>0</xdr:rowOff>
    </xdr:to>
    <mc:AlternateContent xmlns:mc="http://schemas.openxmlformats.org/markup-compatibility/2006" xmlns:a14="http://schemas.microsoft.com/office/drawing/2010/main">
      <mc:Choice Requires="a14">
        <xdr:graphicFrame macro="">
          <xdr:nvGraphicFramePr>
            <xdr:cNvPr id="46" name="Country">
              <a:extLst>
                <a:ext uri="{FF2B5EF4-FFF2-40B4-BE49-F238E27FC236}">
                  <a16:creationId xmlns:a16="http://schemas.microsoft.com/office/drawing/2014/main" id="{326F91EE-2206-22D5-DE72-306AA7B2BE39}"/>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4967019" y="4107562"/>
              <a:ext cx="3382706" cy="7692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165.697449189815" createdVersion="8" refreshedVersion="8" minRefreshableVersion="3" recordCount="240" xr:uid="{81134878-7C30-B048-B67B-ACB6929F7D57}">
  <cacheSource type="worksheet">
    <worksheetSource name="Table1"/>
  </cacheSource>
  <cacheFields count="10">
    <cacheField name="Country" numFmtId="0">
      <sharedItems count="2">
        <s v="USA"/>
        <s v="Canada"/>
      </sharedItems>
    </cacheField>
    <cacheField name="Year" numFmtId="0">
      <sharedItems containsSemiMixedTypes="0" containsString="0" containsNumber="1" containsInteger="1" minValue="2018" maxValue="2027" count="10">
        <n v="2018"/>
        <n v="2019"/>
        <n v="2020"/>
        <n v="2021"/>
        <n v="2022"/>
        <n v="2023"/>
        <n v="2024"/>
        <n v="2025"/>
        <n v="2026"/>
        <n v="2027"/>
      </sharedItems>
    </cacheField>
    <cacheField name="Service" numFmtId="0">
      <sharedItems count="3">
        <s v="Artificial Intelligence"/>
        <s v="Marketing"/>
        <s v="Accounting"/>
      </sharedItems>
    </cacheField>
    <cacheField name="Customer Type" numFmtId="0">
      <sharedItems count="2">
        <s v="SMB"/>
        <s v="Enterprise"/>
      </sharedItems>
    </cacheField>
    <cacheField name="Revenue" numFmtId="0">
      <sharedItems containsSemiMixedTypes="0" containsString="0" containsNumber="1" containsInteger="1" minValue="455" maxValue="140652"/>
    </cacheField>
    <cacheField name="Gross Profit" numFmtId="2">
      <sharedItems containsSemiMixedTypes="0" containsString="0" containsNumber="1" minValue="227.5" maxValue="78372.000000000015"/>
    </cacheField>
    <cacheField name="EBITDA" numFmtId="2">
      <sharedItems containsSemiMixedTypes="0" containsString="0" containsNumber="1" minValue="68.400000000000006" maxValue="28130.400000000001"/>
    </cacheField>
    <cacheField name="Difference" numFmtId="0" formula="Revenue-EBITDA" databaseField="0"/>
    <cacheField name="Difference Revenue/Gross Profit" numFmtId="0" formula="Revenue-'Gross Profit'" databaseField="0"/>
    <cacheField name="Difference Revenue/EBIDTA" numFmtId="0" formula="Revenue-EBITDA" databaseField="0"/>
  </cacheFields>
  <extLst>
    <ext xmlns:x14="http://schemas.microsoft.com/office/spreadsheetml/2009/9/main" uri="{725AE2AE-9491-48be-B2B4-4EB974FC3084}">
      <x14:pivotCacheDefinition pivotCacheId="11719473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x v="0"/>
    <x v="0"/>
    <x v="0"/>
    <x v="0"/>
    <n v="1869"/>
    <n v="934.5"/>
    <n v="373.8"/>
  </r>
  <r>
    <x v="0"/>
    <x v="0"/>
    <x v="0"/>
    <x v="1"/>
    <n v="23961"/>
    <n v="11980.5"/>
    <n v="4792.2"/>
  </r>
  <r>
    <x v="0"/>
    <x v="0"/>
    <x v="1"/>
    <x v="0"/>
    <n v="5607"/>
    <n v="3924.9000000000005"/>
    <n v="1121.4000000000001"/>
  </r>
  <r>
    <x v="0"/>
    <x v="0"/>
    <x v="1"/>
    <x v="1"/>
    <n v="23961"/>
    <n v="16772.7"/>
    <n v="4792.2"/>
  </r>
  <r>
    <x v="0"/>
    <x v="0"/>
    <x v="2"/>
    <x v="0"/>
    <n v="684"/>
    <n v="478.80000000000007"/>
    <n v="68.400000000000006"/>
  </r>
  <r>
    <x v="0"/>
    <x v="0"/>
    <x v="2"/>
    <x v="1"/>
    <n v="9098"/>
    <n v="6368.6"/>
    <n v="909.80000000000007"/>
  </r>
  <r>
    <x v="0"/>
    <x v="1"/>
    <x v="0"/>
    <x v="0"/>
    <n v="3211"/>
    <n v="1605.5"/>
    <n v="321.10000000000002"/>
  </r>
  <r>
    <x v="0"/>
    <x v="1"/>
    <x v="0"/>
    <x v="1"/>
    <n v="15956"/>
    <n v="7978"/>
    <n v="1595.6000000000001"/>
  </r>
  <r>
    <x v="0"/>
    <x v="1"/>
    <x v="1"/>
    <x v="0"/>
    <n v="12844"/>
    <n v="6422"/>
    <n v="1284.4000000000001"/>
  </r>
  <r>
    <x v="0"/>
    <x v="1"/>
    <x v="1"/>
    <x v="1"/>
    <n v="95736"/>
    <n v="47868"/>
    <n v="9573.6"/>
  </r>
  <r>
    <x v="0"/>
    <x v="1"/>
    <x v="2"/>
    <x v="0"/>
    <n v="17682"/>
    <n v="10609.2"/>
    <n v="3536.4"/>
  </r>
  <r>
    <x v="0"/>
    <x v="1"/>
    <x v="2"/>
    <x v="1"/>
    <n v="19683"/>
    <n v="11809.800000000001"/>
    <n v="3936.6000000000004"/>
  </r>
  <r>
    <x v="0"/>
    <x v="2"/>
    <x v="0"/>
    <x v="0"/>
    <n v="4810"/>
    <n v="3848"/>
    <n v="962"/>
  </r>
  <r>
    <x v="0"/>
    <x v="2"/>
    <x v="0"/>
    <x v="1"/>
    <n v="16090"/>
    <n v="12872"/>
    <n v="3218"/>
  </r>
  <r>
    <x v="0"/>
    <x v="2"/>
    <x v="1"/>
    <x v="0"/>
    <n v="9620"/>
    <n v="4810"/>
    <n v="962"/>
  </r>
  <r>
    <x v="0"/>
    <x v="2"/>
    <x v="1"/>
    <x v="1"/>
    <n v="16090"/>
    <n v="8045"/>
    <n v="1609"/>
  </r>
  <r>
    <x v="0"/>
    <x v="2"/>
    <x v="2"/>
    <x v="0"/>
    <n v="10140"/>
    <n v="8112"/>
    <n v="2028"/>
  </r>
  <r>
    <x v="0"/>
    <x v="2"/>
    <x v="2"/>
    <x v="1"/>
    <n v="55827"/>
    <n v="44661.600000000006"/>
    <n v="11165.400000000001"/>
  </r>
  <r>
    <x v="0"/>
    <x v="3"/>
    <x v="0"/>
    <x v="0"/>
    <n v="7470"/>
    <n v="4482.0000000000009"/>
    <n v="1494"/>
  </r>
  <r>
    <x v="0"/>
    <x v="3"/>
    <x v="0"/>
    <x v="1"/>
    <n v="15225"/>
    <n v="9135.0000000000018"/>
    <n v="3045"/>
  </r>
  <r>
    <x v="0"/>
    <x v="3"/>
    <x v="1"/>
    <x v="0"/>
    <n v="29880"/>
    <n v="20916.000000000004"/>
    <n v="2988"/>
  </r>
  <r>
    <x v="0"/>
    <x v="3"/>
    <x v="1"/>
    <x v="1"/>
    <n v="91350"/>
    <n v="63945.000000000007"/>
    <n v="9135"/>
  </r>
  <r>
    <x v="0"/>
    <x v="3"/>
    <x v="2"/>
    <x v="0"/>
    <n v="3252"/>
    <n v="2601.6000000000004"/>
    <n v="650.40000000000009"/>
  </r>
  <r>
    <x v="0"/>
    <x v="3"/>
    <x v="2"/>
    <x v="1"/>
    <n v="6756"/>
    <n v="5404.8"/>
    <n v="1351.2"/>
  </r>
  <r>
    <x v="0"/>
    <x v="4"/>
    <x v="0"/>
    <x v="0"/>
    <n v="11367"/>
    <n v="7956.9000000000005"/>
    <n v="1136.7"/>
  </r>
  <r>
    <x v="0"/>
    <x v="4"/>
    <x v="0"/>
    <x v="1"/>
    <n v="14484"/>
    <n v="10138.800000000001"/>
    <n v="1448.4"/>
  </r>
  <r>
    <x v="0"/>
    <x v="4"/>
    <x v="1"/>
    <x v="0"/>
    <n v="22734"/>
    <n v="11367"/>
    <n v="2273.4"/>
  </r>
  <r>
    <x v="0"/>
    <x v="4"/>
    <x v="1"/>
    <x v="1"/>
    <n v="86904"/>
    <n v="43452"/>
    <n v="8690.4"/>
  </r>
  <r>
    <x v="0"/>
    <x v="4"/>
    <x v="2"/>
    <x v="0"/>
    <n v="3515"/>
    <n v="2812"/>
    <n v="351.5"/>
  </r>
  <r>
    <x v="0"/>
    <x v="4"/>
    <x v="2"/>
    <x v="1"/>
    <n v="18760"/>
    <n v="15008"/>
    <n v="1876"/>
  </r>
  <r>
    <x v="0"/>
    <x v="5"/>
    <x v="0"/>
    <x v="0"/>
    <n v="6894"/>
    <n v="4825.8"/>
    <n v="1378.8000000000002"/>
  </r>
  <r>
    <x v="0"/>
    <x v="5"/>
    <x v="0"/>
    <x v="1"/>
    <n v="18660"/>
    <n v="13062.000000000002"/>
    <n v="3732"/>
  </r>
  <r>
    <x v="0"/>
    <x v="5"/>
    <x v="1"/>
    <x v="0"/>
    <n v="13788"/>
    <n v="9651.6"/>
    <n v="2757.6000000000004"/>
  </r>
  <r>
    <x v="0"/>
    <x v="5"/>
    <x v="1"/>
    <x v="1"/>
    <n v="111960"/>
    <n v="78372.000000000015"/>
    <n v="22392"/>
  </r>
  <r>
    <x v="0"/>
    <x v="5"/>
    <x v="2"/>
    <x v="0"/>
    <n v="5064"/>
    <n v="4051.2000000000003"/>
    <n v="506.40000000000003"/>
  </r>
  <r>
    <x v="0"/>
    <x v="5"/>
    <x v="2"/>
    <x v="1"/>
    <n v="15933"/>
    <n v="12746.400000000001"/>
    <n v="1593.3000000000002"/>
  </r>
  <r>
    <x v="0"/>
    <x v="6"/>
    <x v="0"/>
    <x v="0"/>
    <n v="8880"/>
    <n v="4440"/>
    <n v="1776"/>
  </r>
  <r>
    <x v="0"/>
    <x v="6"/>
    <x v="0"/>
    <x v="1"/>
    <n v="13958"/>
    <n v="6979"/>
    <n v="2791.6000000000004"/>
  </r>
  <r>
    <x v="0"/>
    <x v="6"/>
    <x v="1"/>
    <x v="0"/>
    <n v="53280"/>
    <n v="26640"/>
    <n v="5328"/>
  </r>
  <r>
    <x v="0"/>
    <x v="6"/>
    <x v="1"/>
    <x v="1"/>
    <n v="41874"/>
    <n v="20937"/>
    <n v="4187.4000000000005"/>
  </r>
  <r>
    <x v="0"/>
    <x v="6"/>
    <x v="2"/>
    <x v="0"/>
    <n v="9666"/>
    <n v="6766.2000000000007"/>
    <n v="966.6"/>
  </r>
  <r>
    <x v="0"/>
    <x v="6"/>
    <x v="2"/>
    <x v="1"/>
    <n v="6528"/>
    <n v="4569.6000000000004"/>
    <n v="652.80000000000007"/>
  </r>
  <r>
    <x v="0"/>
    <x v="7"/>
    <x v="0"/>
    <x v="0"/>
    <n v="4901"/>
    <n v="2940.6000000000004"/>
    <n v="490.1"/>
  </r>
  <r>
    <x v="0"/>
    <x v="7"/>
    <x v="0"/>
    <x v="1"/>
    <n v="26427"/>
    <n v="15856.200000000003"/>
    <n v="2642.7000000000003"/>
  </r>
  <r>
    <x v="0"/>
    <x v="7"/>
    <x v="1"/>
    <x v="0"/>
    <n v="14703"/>
    <n v="10292.1"/>
    <n v="2940.6000000000004"/>
  </r>
  <r>
    <x v="0"/>
    <x v="7"/>
    <x v="1"/>
    <x v="1"/>
    <n v="52854"/>
    <n v="36997.800000000003"/>
    <n v="10570.800000000001"/>
  </r>
  <r>
    <x v="0"/>
    <x v="7"/>
    <x v="2"/>
    <x v="0"/>
    <n v="1365"/>
    <n v="682.5"/>
    <n v="273"/>
  </r>
  <r>
    <x v="0"/>
    <x v="7"/>
    <x v="2"/>
    <x v="1"/>
    <n v="68814"/>
    <n v="34407"/>
    <n v="13762.800000000001"/>
  </r>
  <r>
    <x v="0"/>
    <x v="8"/>
    <x v="0"/>
    <x v="0"/>
    <n v="3828"/>
    <n v="1914"/>
    <n v="765.6"/>
  </r>
  <r>
    <x v="0"/>
    <x v="8"/>
    <x v="0"/>
    <x v="1"/>
    <n v="24219"/>
    <n v="12109.5"/>
    <n v="4843.8"/>
  </r>
  <r>
    <x v="0"/>
    <x v="8"/>
    <x v="1"/>
    <x v="0"/>
    <n v="3828"/>
    <n v="2296.8000000000002"/>
    <n v="765.6"/>
  </r>
  <r>
    <x v="0"/>
    <x v="8"/>
    <x v="1"/>
    <x v="1"/>
    <n v="96876"/>
    <n v="58125.600000000006"/>
    <n v="19375.2"/>
  </r>
  <r>
    <x v="0"/>
    <x v="8"/>
    <x v="2"/>
    <x v="0"/>
    <n v="3022"/>
    <n v="1511"/>
    <n v="604.4"/>
  </r>
  <r>
    <x v="0"/>
    <x v="8"/>
    <x v="2"/>
    <x v="1"/>
    <n v="32694"/>
    <n v="16347"/>
    <n v="6538.8"/>
  </r>
  <r>
    <x v="0"/>
    <x v="9"/>
    <x v="0"/>
    <x v="0"/>
    <n v="5424"/>
    <n v="2712"/>
    <n v="542.4"/>
  </r>
  <r>
    <x v="0"/>
    <x v="9"/>
    <x v="0"/>
    <x v="1"/>
    <n v="23442"/>
    <n v="11721"/>
    <n v="2344.2000000000003"/>
  </r>
  <r>
    <x v="0"/>
    <x v="9"/>
    <x v="1"/>
    <x v="0"/>
    <n v="5424"/>
    <n v="2712"/>
    <n v="1084.8"/>
  </r>
  <r>
    <x v="0"/>
    <x v="9"/>
    <x v="1"/>
    <x v="1"/>
    <n v="140652"/>
    <n v="70326"/>
    <n v="28130.400000000001"/>
  </r>
  <r>
    <x v="0"/>
    <x v="9"/>
    <x v="2"/>
    <x v="0"/>
    <n v="15468"/>
    <n v="9280.8000000000011"/>
    <n v="3093.6000000000004"/>
  </r>
  <r>
    <x v="0"/>
    <x v="9"/>
    <x v="2"/>
    <x v="1"/>
    <n v="9172"/>
    <n v="5503.2000000000007"/>
    <n v="1834.4"/>
  </r>
  <r>
    <x v="0"/>
    <x v="0"/>
    <x v="0"/>
    <x v="0"/>
    <n v="1869"/>
    <n v="934.5"/>
    <n v="373.8"/>
  </r>
  <r>
    <x v="0"/>
    <x v="0"/>
    <x v="0"/>
    <x v="1"/>
    <n v="23961"/>
    <n v="11980.5"/>
    <n v="4792.2"/>
  </r>
  <r>
    <x v="0"/>
    <x v="0"/>
    <x v="1"/>
    <x v="0"/>
    <n v="5607"/>
    <n v="3924.9000000000005"/>
    <n v="1121.4000000000001"/>
  </r>
  <r>
    <x v="0"/>
    <x v="0"/>
    <x v="1"/>
    <x v="1"/>
    <n v="23961"/>
    <n v="16772.7"/>
    <n v="4792.2"/>
  </r>
  <r>
    <x v="0"/>
    <x v="0"/>
    <x v="2"/>
    <x v="0"/>
    <n v="684"/>
    <n v="478.80000000000007"/>
    <n v="68.400000000000006"/>
  </r>
  <r>
    <x v="0"/>
    <x v="0"/>
    <x v="2"/>
    <x v="1"/>
    <n v="9098"/>
    <n v="6368.6"/>
    <n v="909.80000000000007"/>
  </r>
  <r>
    <x v="0"/>
    <x v="1"/>
    <x v="0"/>
    <x v="0"/>
    <n v="3211"/>
    <n v="1605.5"/>
    <n v="321.10000000000002"/>
  </r>
  <r>
    <x v="0"/>
    <x v="1"/>
    <x v="0"/>
    <x v="1"/>
    <n v="15956"/>
    <n v="7978"/>
    <n v="1595.6000000000001"/>
  </r>
  <r>
    <x v="0"/>
    <x v="1"/>
    <x v="1"/>
    <x v="0"/>
    <n v="12844"/>
    <n v="6422"/>
    <n v="1284.4000000000001"/>
  </r>
  <r>
    <x v="0"/>
    <x v="1"/>
    <x v="1"/>
    <x v="1"/>
    <n v="95736"/>
    <n v="47868"/>
    <n v="9573.6"/>
  </r>
  <r>
    <x v="0"/>
    <x v="1"/>
    <x v="2"/>
    <x v="0"/>
    <n v="17682"/>
    <n v="10609.2"/>
    <n v="3536.4"/>
  </r>
  <r>
    <x v="0"/>
    <x v="1"/>
    <x v="2"/>
    <x v="1"/>
    <n v="19683"/>
    <n v="11809.800000000001"/>
    <n v="3936.6000000000004"/>
  </r>
  <r>
    <x v="0"/>
    <x v="2"/>
    <x v="0"/>
    <x v="0"/>
    <n v="4810"/>
    <n v="3848"/>
    <n v="962"/>
  </r>
  <r>
    <x v="0"/>
    <x v="2"/>
    <x v="0"/>
    <x v="0"/>
    <n v="4810"/>
    <n v="3848"/>
    <n v="962"/>
  </r>
  <r>
    <x v="0"/>
    <x v="2"/>
    <x v="1"/>
    <x v="1"/>
    <n v="16090"/>
    <n v="8045"/>
    <n v="1609"/>
  </r>
  <r>
    <x v="0"/>
    <x v="2"/>
    <x v="1"/>
    <x v="0"/>
    <n v="9620"/>
    <n v="4810"/>
    <n v="962"/>
  </r>
  <r>
    <x v="0"/>
    <x v="2"/>
    <x v="2"/>
    <x v="1"/>
    <n v="55827"/>
    <n v="44661.600000000006"/>
    <n v="11165.400000000001"/>
  </r>
  <r>
    <x v="0"/>
    <x v="2"/>
    <x v="2"/>
    <x v="0"/>
    <n v="10140"/>
    <n v="8112"/>
    <n v="2028"/>
  </r>
  <r>
    <x v="0"/>
    <x v="3"/>
    <x v="0"/>
    <x v="1"/>
    <n v="15225"/>
    <n v="9135.0000000000018"/>
    <n v="3045"/>
  </r>
  <r>
    <x v="0"/>
    <x v="3"/>
    <x v="0"/>
    <x v="0"/>
    <n v="7470"/>
    <n v="4482.0000000000009"/>
    <n v="1494"/>
  </r>
  <r>
    <x v="0"/>
    <x v="3"/>
    <x v="1"/>
    <x v="1"/>
    <n v="91350"/>
    <n v="63945.000000000007"/>
    <n v="9135"/>
  </r>
  <r>
    <x v="0"/>
    <x v="3"/>
    <x v="1"/>
    <x v="0"/>
    <n v="29880"/>
    <n v="20916.000000000004"/>
    <n v="2988"/>
  </r>
  <r>
    <x v="0"/>
    <x v="3"/>
    <x v="2"/>
    <x v="1"/>
    <n v="6756"/>
    <n v="5404.8"/>
    <n v="1351.2"/>
  </r>
  <r>
    <x v="0"/>
    <x v="3"/>
    <x v="2"/>
    <x v="0"/>
    <n v="3252"/>
    <n v="2601.6000000000004"/>
    <n v="650.40000000000009"/>
  </r>
  <r>
    <x v="0"/>
    <x v="4"/>
    <x v="0"/>
    <x v="1"/>
    <n v="14484"/>
    <n v="10138.800000000001"/>
    <n v="1448.4"/>
  </r>
  <r>
    <x v="0"/>
    <x v="4"/>
    <x v="0"/>
    <x v="0"/>
    <n v="11367"/>
    <n v="7956.9000000000005"/>
    <n v="1136.7"/>
  </r>
  <r>
    <x v="0"/>
    <x v="4"/>
    <x v="1"/>
    <x v="1"/>
    <n v="86904"/>
    <n v="43452"/>
    <n v="8690.4"/>
  </r>
  <r>
    <x v="0"/>
    <x v="4"/>
    <x v="1"/>
    <x v="0"/>
    <n v="22734"/>
    <n v="11367"/>
    <n v="2273.4"/>
  </r>
  <r>
    <x v="0"/>
    <x v="4"/>
    <x v="2"/>
    <x v="1"/>
    <n v="18760"/>
    <n v="15008"/>
    <n v="1876"/>
  </r>
  <r>
    <x v="0"/>
    <x v="4"/>
    <x v="2"/>
    <x v="0"/>
    <n v="3515"/>
    <n v="2812"/>
    <n v="351.5"/>
  </r>
  <r>
    <x v="0"/>
    <x v="5"/>
    <x v="0"/>
    <x v="1"/>
    <n v="18660"/>
    <n v="13062.000000000002"/>
    <n v="3732"/>
  </r>
  <r>
    <x v="0"/>
    <x v="5"/>
    <x v="0"/>
    <x v="0"/>
    <n v="6894"/>
    <n v="4825.8"/>
    <n v="1378.8000000000002"/>
  </r>
  <r>
    <x v="0"/>
    <x v="5"/>
    <x v="1"/>
    <x v="1"/>
    <n v="111960"/>
    <n v="78372.000000000015"/>
    <n v="22392"/>
  </r>
  <r>
    <x v="0"/>
    <x v="5"/>
    <x v="1"/>
    <x v="0"/>
    <n v="13788"/>
    <n v="9651.6"/>
    <n v="2757.6000000000004"/>
  </r>
  <r>
    <x v="0"/>
    <x v="5"/>
    <x v="2"/>
    <x v="1"/>
    <n v="15933"/>
    <n v="12746.400000000001"/>
    <n v="1593.3000000000002"/>
  </r>
  <r>
    <x v="0"/>
    <x v="5"/>
    <x v="2"/>
    <x v="0"/>
    <n v="5064"/>
    <n v="4051.2000000000003"/>
    <n v="506.40000000000003"/>
  </r>
  <r>
    <x v="0"/>
    <x v="6"/>
    <x v="0"/>
    <x v="1"/>
    <n v="13958"/>
    <n v="6979"/>
    <n v="2791.6000000000004"/>
  </r>
  <r>
    <x v="0"/>
    <x v="6"/>
    <x v="0"/>
    <x v="0"/>
    <n v="8880"/>
    <n v="4440"/>
    <n v="1776"/>
  </r>
  <r>
    <x v="0"/>
    <x v="6"/>
    <x v="1"/>
    <x v="1"/>
    <n v="41874"/>
    <n v="20937"/>
    <n v="4187.4000000000005"/>
  </r>
  <r>
    <x v="0"/>
    <x v="6"/>
    <x v="1"/>
    <x v="0"/>
    <n v="53280"/>
    <n v="26640"/>
    <n v="5328"/>
  </r>
  <r>
    <x v="0"/>
    <x v="6"/>
    <x v="2"/>
    <x v="1"/>
    <n v="6528"/>
    <n v="4569.6000000000004"/>
    <n v="652.80000000000007"/>
  </r>
  <r>
    <x v="0"/>
    <x v="6"/>
    <x v="2"/>
    <x v="0"/>
    <n v="9666"/>
    <n v="6766.2000000000007"/>
    <n v="966.6"/>
  </r>
  <r>
    <x v="0"/>
    <x v="7"/>
    <x v="0"/>
    <x v="1"/>
    <n v="26427"/>
    <n v="15856.200000000003"/>
    <n v="2642.7000000000003"/>
  </r>
  <r>
    <x v="0"/>
    <x v="7"/>
    <x v="0"/>
    <x v="0"/>
    <n v="4901"/>
    <n v="2940.6000000000004"/>
    <n v="490.1"/>
  </r>
  <r>
    <x v="0"/>
    <x v="7"/>
    <x v="1"/>
    <x v="1"/>
    <n v="52854"/>
    <n v="36997.800000000003"/>
    <n v="10570.800000000001"/>
  </r>
  <r>
    <x v="0"/>
    <x v="7"/>
    <x v="1"/>
    <x v="0"/>
    <n v="14703"/>
    <n v="10292.1"/>
    <n v="2940.6000000000004"/>
  </r>
  <r>
    <x v="0"/>
    <x v="7"/>
    <x v="2"/>
    <x v="1"/>
    <n v="68814"/>
    <n v="34407"/>
    <n v="13762.800000000001"/>
  </r>
  <r>
    <x v="0"/>
    <x v="7"/>
    <x v="2"/>
    <x v="0"/>
    <n v="1365"/>
    <n v="682.5"/>
    <n v="273"/>
  </r>
  <r>
    <x v="0"/>
    <x v="8"/>
    <x v="0"/>
    <x v="1"/>
    <n v="24219"/>
    <n v="12109.5"/>
    <n v="4843.8"/>
  </r>
  <r>
    <x v="0"/>
    <x v="8"/>
    <x v="0"/>
    <x v="0"/>
    <n v="3828"/>
    <n v="1914"/>
    <n v="765.6"/>
  </r>
  <r>
    <x v="0"/>
    <x v="8"/>
    <x v="1"/>
    <x v="1"/>
    <n v="96876"/>
    <n v="58125.600000000006"/>
    <n v="19375.2"/>
  </r>
  <r>
    <x v="0"/>
    <x v="8"/>
    <x v="1"/>
    <x v="0"/>
    <n v="3828"/>
    <n v="2296.8000000000002"/>
    <n v="765.6"/>
  </r>
  <r>
    <x v="0"/>
    <x v="8"/>
    <x v="2"/>
    <x v="1"/>
    <n v="32694"/>
    <n v="16347"/>
    <n v="6538.8"/>
  </r>
  <r>
    <x v="0"/>
    <x v="8"/>
    <x v="2"/>
    <x v="0"/>
    <n v="3022"/>
    <n v="1511"/>
    <n v="604.4"/>
  </r>
  <r>
    <x v="0"/>
    <x v="9"/>
    <x v="0"/>
    <x v="1"/>
    <n v="23442"/>
    <n v="11721"/>
    <n v="2344.2000000000003"/>
  </r>
  <r>
    <x v="0"/>
    <x v="9"/>
    <x v="0"/>
    <x v="0"/>
    <n v="5424"/>
    <n v="2712"/>
    <n v="542.4"/>
  </r>
  <r>
    <x v="0"/>
    <x v="9"/>
    <x v="1"/>
    <x v="1"/>
    <n v="140652"/>
    <n v="70326"/>
    <n v="28130.400000000001"/>
  </r>
  <r>
    <x v="0"/>
    <x v="9"/>
    <x v="1"/>
    <x v="0"/>
    <n v="5424"/>
    <n v="2712"/>
    <n v="1084.8"/>
  </r>
  <r>
    <x v="0"/>
    <x v="9"/>
    <x v="2"/>
    <x v="1"/>
    <n v="9172"/>
    <n v="5503.2000000000007"/>
    <n v="1834.4"/>
  </r>
  <r>
    <x v="0"/>
    <x v="9"/>
    <x v="2"/>
    <x v="0"/>
    <n v="15468"/>
    <n v="9280.8000000000011"/>
    <n v="3093.6000000000004"/>
  </r>
  <r>
    <x v="1"/>
    <x v="0"/>
    <x v="0"/>
    <x v="0"/>
    <n v="1869"/>
    <n v="1121.4000000000001"/>
    <n v="373.8"/>
  </r>
  <r>
    <x v="1"/>
    <x v="0"/>
    <x v="0"/>
    <x v="1"/>
    <n v="7987"/>
    <n v="4792.2000000000007"/>
    <n v="1597.4"/>
  </r>
  <r>
    <x v="1"/>
    <x v="0"/>
    <x v="1"/>
    <x v="0"/>
    <n v="2184"/>
    <n v="1747.2"/>
    <n v="218.4"/>
  </r>
  <r>
    <x v="1"/>
    <x v="0"/>
    <x v="1"/>
    <x v="1"/>
    <n v="3902"/>
    <n v="3121.6000000000004"/>
    <n v="390.20000000000005"/>
  </r>
  <r>
    <x v="1"/>
    <x v="0"/>
    <x v="2"/>
    <x v="0"/>
    <n v="684"/>
    <n v="547.20000000000005"/>
    <n v="136.80000000000001"/>
  </r>
  <r>
    <x v="1"/>
    <x v="0"/>
    <x v="2"/>
    <x v="1"/>
    <n v="4549"/>
    <n v="3639.2000000000003"/>
    <n v="909.80000000000007"/>
  </r>
  <r>
    <x v="1"/>
    <x v="1"/>
    <x v="0"/>
    <x v="0"/>
    <n v="3211"/>
    <n v="1926.6000000000004"/>
    <n v="642.20000000000005"/>
  </r>
  <r>
    <x v="1"/>
    <x v="1"/>
    <x v="0"/>
    <x v="1"/>
    <n v="7978"/>
    <n v="4786.8000000000011"/>
    <n v="1595.6000000000001"/>
  </r>
  <r>
    <x v="1"/>
    <x v="1"/>
    <x v="1"/>
    <x v="0"/>
    <n v="1395"/>
    <n v="976.50000000000011"/>
    <n v="139.5"/>
  </r>
  <r>
    <x v="1"/>
    <x v="1"/>
    <x v="1"/>
    <x v="1"/>
    <n v="3286"/>
    <n v="2300.2000000000003"/>
    <n v="328.6"/>
  </r>
  <r>
    <x v="1"/>
    <x v="1"/>
    <x v="2"/>
    <x v="0"/>
    <n v="2947"/>
    <n v="1473.5"/>
    <n v="589.4"/>
  </r>
  <r>
    <x v="1"/>
    <x v="1"/>
    <x v="2"/>
    <x v="1"/>
    <n v="2187"/>
    <n v="1093.5"/>
    <n v="437.40000000000003"/>
  </r>
  <r>
    <x v="1"/>
    <x v="2"/>
    <x v="0"/>
    <x v="0"/>
    <n v="2405"/>
    <n v="1683.5000000000002"/>
    <n v="481"/>
  </r>
  <r>
    <x v="1"/>
    <x v="2"/>
    <x v="0"/>
    <x v="1"/>
    <n v="8045"/>
    <n v="5631.5000000000009"/>
    <n v="1609"/>
  </r>
  <r>
    <x v="1"/>
    <x v="2"/>
    <x v="1"/>
    <x v="0"/>
    <n v="1625"/>
    <n v="975.00000000000011"/>
    <n v="162.5"/>
  </r>
  <r>
    <x v="1"/>
    <x v="2"/>
    <x v="1"/>
    <x v="1"/>
    <n v="2912"/>
    <n v="1747.2000000000003"/>
    <n v="291.2"/>
  </r>
  <r>
    <x v="1"/>
    <x v="2"/>
    <x v="2"/>
    <x v="0"/>
    <n v="1690"/>
    <n v="1183"/>
    <n v="338"/>
  </r>
  <r>
    <x v="1"/>
    <x v="2"/>
    <x v="2"/>
    <x v="1"/>
    <n v="6203"/>
    <n v="4342.1000000000004"/>
    <n v="1240.6000000000001"/>
  </r>
  <r>
    <x v="1"/>
    <x v="3"/>
    <x v="0"/>
    <x v="0"/>
    <n v="2490"/>
    <n v="1494.0000000000002"/>
    <n v="498"/>
  </r>
  <r>
    <x v="1"/>
    <x v="3"/>
    <x v="0"/>
    <x v="1"/>
    <n v="5075"/>
    <n v="3045.0000000000005"/>
    <n v="1015"/>
  </r>
  <r>
    <x v="1"/>
    <x v="3"/>
    <x v="1"/>
    <x v="0"/>
    <n v="1710"/>
    <n v="855"/>
    <n v="342"/>
  </r>
  <r>
    <x v="1"/>
    <x v="3"/>
    <x v="1"/>
    <x v="1"/>
    <n v="4586"/>
    <n v="2293"/>
    <n v="917.2"/>
  </r>
  <r>
    <x v="1"/>
    <x v="3"/>
    <x v="2"/>
    <x v="0"/>
    <n v="1626"/>
    <n v="1300.8000000000002"/>
    <n v="325.20000000000005"/>
  </r>
  <r>
    <x v="1"/>
    <x v="3"/>
    <x v="2"/>
    <x v="1"/>
    <n v="1126"/>
    <n v="900.80000000000007"/>
    <n v="225.20000000000002"/>
  </r>
  <r>
    <x v="1"/>
    <x v="4"/>
    <x v="0"/>
    <x v="0"/>
    <n v="3789"/>
    <n v="2652.3"/>
    <n v="757.80000000000007"/>
  </r>
  <r>
    <x v="1"/>
    <x v="4"/>
    <x v="0"/>
    <x v="1"/>
    <n v="7242"/>
    <n v="5069.4000000000005"/>
    <n v="1448.4"/>
  </r>
  <r>
    <x v="1"/>
    <x v="4"/>
    <x v="1"/>
    <x v="0"/>
    <n v="1738"/>
    <n v="869"/>
    <n v="347.6"/>
  </r>
  <r>
    <x v="1"/>
    <x v="4"/>
    <x v="1"/>
    <x v="1"/>
    <n v="2666"/>
    <n v="1333"/>
    <n v="533.20000000000005"/>
  </r>
  <r>
    <x v="1"/>
    <x v="4"/>
    <x v="2"/>
    <x v="0"/>
    <n v="3515"/>
    <n v="1757.5"/>
    <n v="351.5"/>
  </r>
  <r>
    <x v="1"/>
    <x v="4"/>
    <x v="2"/>
    <x v="1"/>
    <n v="4690"/>
    <n v="2345"/>
    <n v="469"/>
  </r>
  <r>
    <x v="1"/>
    <x v="5"/>
    <x v="0"/>
    <x v="0"/>
    <n v="2298"/>
    <n v="1608.6000000000001"/>
    <n v="459.6"/>
  </r>
  <r>
    <x v="1"/>
    <x v="5"/>
    <x v="0"/>
    <x v="1"/>
    <n v="9330"/>
    <n v="6531.0000000000009"/>
    <n v="1866"/>
  </r>
  <r>
    <x v="1"/>
    <x v="5"/>
    <x v="1"/>
    <x v="0"/>
    <n v="2471"/>
    <n v="1729.7000000000003"/>
    <n v="494.20000000000005"/>
  </r>
  <r>
    <x v="1"/>
    <x v="5"/>
    <x v="1"/>
    <x v="1"/>
    <n v="4027"/>
    <n v="2818.9"/>
    <n v="805.40000000000009"/>
  </r>
  <r>
    <x v="1"/>
    <x v="5"/>
    <x v="2"/>
    <x v="0"/>
    <n v="2532"/>
    <n v="2025.6000000000001"/>
    <n v="253.20000000000002"/>
  </r>
  <r>
    <x v="1"/>
    <x v="5"/>
    <x v="2"/>
    <x v="1"/>
    <n v="5311"/>
    <n v="4248.8"/>
    <n v="531.1"/>
  </r>
  <r>
    <x v="1"/>
    <x v="6"/>
    <x v="0"/>
    <x v="0"/>
    <n v="4440"/>
    <n v="3108.0000000000005"/>
    <n v="444"/>
  </r>
  <r>
    <x v="1"/>
    <x v="6"/>
    <x v="0"/>
    <x v="1"/>
    <n v="6979"/>
    <n v="4885.3"/>
    <n v="697.90000000000009"/>
  </r>
  <r>
    <x v="1"/>
    <x v="6"/>
    <x v="1"/>
    <x v="0"/>
    <n v="1689"/>
    <n v="844.5"/>
    <n v="337.8"/>
  </r>
  <r>
    <x v="1"/>
    <x v="6"/>
    <x v="1"/>
    <x v="1"/>
    <n v="2778"/>
    <n v="1389"/>
    <n v="555.6"/>
  </r>
  <r>
    <x v="1"/>
    <x v="6"/>
    <x v="2"/>
    <x v="0"/>
    <n v="1611"/>
    <n v="805.5"/>
    <n v="161.10000000000002"/>
  </r>
  <r>
    <x v="1"/>
    <x v="6"/>
    <x v="2"/>
    <x v="1"/>
    <n v="6528"/>
    <n v="3264"/>
    <n v="652.80000000000007"/>
  </r>
  <r>
    <x v="1"/>
    <x v="7"/>
    <x v="0"/>
    <x v="0"/>
    <n v="4901"/>
    <n v="2450.5"/>
    <n v="490.1"/>
  </r>
  <r>
    <x v="1"/>
    <x v="7"/>
    <x v="0"/>
    <x v="1"/>
    <n v="8809"/>
    <n v="4404.5"/>
    <n v="880.90000000000009"/>
  </r>
  <r>
    <x v="1"/>
    <x v="7"/>
    <x v="1"/>
    <x v="0"/>
    <n v="2300"/>
    <n v="1150"/>
    <n v="460"/>
  </r>
  <r>
    <x v="1"/>
    <x v="7"/>
    <x v="1"/>
    <x v="1"/>
    <n v="5369"/>
    <n v="2684.5"/>
    <n v="1073.8"/>
  </r>
  <r>
    <x v="1"/>
    <x v="7"/>
    <x v="2"/>
    <x v="0"/>
    <n v="455"/>
    <n v="227.5"/>
    <n v="91"/>
  </r>
  <r>
    <x v="1"/>
    <x v="7"/>
    <x v="2"/>
    <x v="1"/>
    <n v="7646"/>
    <n v="3823"/>
    <n v="1529.2"/>
  </r>
  <r>
    <x v="1"/>
    <x v="8"/>
    <x v="0"/>
    <x v="0"/>
    <n v="3828"/>
    <n v="2296.8000000000002"/>
    <n v="765.6"/>
  </r>
  <r>
    <x v="1"/>
    <x v="8"/>
    <x v="0"/>
    <x v="1"/>
    <n v="8073"/>
    <n v="4843.8000000000011"/>
    <n v="1614.6000000000001"/>
  </r>
  <r>
    <x v="1"/>
    <x v="8"/>
    <x v="1"/>
    <x v="0"/>
    <n v="3500"/>
    <n v="2800"/>
    <n v="350"/>
  </r>
  <r>
    <x v="1"/>
    <x v="8"/>
    <x v="1"/>
    <x v="1"/>
    <n v="4109"/>
    <n v="3287.2000000000003"/>
    <n v="410.90000000000003"/>
  </r>
  <r>
    <x v="1"/>
    <x v="8"/>
    <x v="2"/>
    <x v="0"/>
    <n v="3022"/>
    <n v="2417.6"/>
    <n v="302.2"/>
  </r>
  <r>
    <x v="1"/>
    <x v="8"/>
    <x v="2"/>
    <x v="1"/>
    <n v="5449"/>
    <n v="4359.2"/>
    <n v="544.9"/>
  </r>
  <r>
    <x v="1"/>
    <x v="9"/>
    <x v="0"/>
    <x v="0"/>
    <n v="1808"/>
    <n v="904"/>
    <n v="361.6"/>
  </r>
  <r>
    <x v="1"/>
    <x v="9"/>
    <x v="0"/>
    <x v="1"/>
    <n v="7814"/>
    <n v="3907"/>
    <n v="1562.8000000000002"/>
  </r>
  <r>
    <x v="1"/>
    <x v="9"/>
    <x v="1"/>
    <x v="0"/>
    <n v="2150"/>
    <n v="1505.0000000000002"/>
    <n v="430"/>
  </r>
  <r>
    <x v="1"/>
    <x v="9"/>
    <x v="1"/>
    <x v="1"/>
    <n v="3706"/>
    <n v="2594.2000000000003"/>
    <n v="741.2"/>
  </r>
  <r>
    <x v="1"/>
    <x v="9"/>
    <x v="2"/>
    <x v="0"/>
    <n v="3867"/>
    <n v="2320.2000000000003"/>
    <n v="386.70000000000005"/>
  </r>
  <r>
    <x v="1"/>
    <x v="9"/>
    <x v="2"/>
    <x v="1"/>
    <n v="4586"/>
    <n v="2751.6000000000004"/>
    <n v="458.6"/>
  </r>
  <r>
    <x v="1"/>
    <x v="0"/>
    <x v="0"/>
    <x v="0"/>
    <n v="1869"/>
    <n v="1121.4000000000001"/>
    <n v="373.8"/>
  </r>
  <r>
    <x v="1"/>
    <x v="0"/>
    <x v="0"/>
    <x v="1"/>
    <n v="7987"/>
    <n v="4792.2000000000007"/>
    <n v="1597.4"/>
  </r>
  <r>
    <x v="1"/>
    <x v="0"/>
    <x v="1"/>
    <x v="0"/>
    <n v="2184"/>
    <n v="1747.2"/>
    <n v="218.4"/>
  </r>
  <r>
    <x v="1"/>
    <x v="0"/>
    <x v="1"/>
    <x v="1"/>
    <n v="3902"/>
    <n v="3121.6000000000004"/>
    <n v="390.20000000000005"/>
  </r>
  <r>
    <x v="1"/>
    <x v="0"/>
    <x v="2"/>
    <x v="0"/>
    <n v="684"/>
    <n v="547.20000000000005"/>
    <n v="136.80000000000001"/>
  </r>
  <r>
    <x v="1"/>
    <x v="0"/>
    <x v="2"/>
    <x v="1"/>
    <n v="4549"/>
    <n v="3639.2000000000003"/>
    <n v="909.80000000000007"/>
  </r>
  <r>
    <x v="1"/>
    <x v="1"/>
    <x v="0"/>
    <x v="0"/>
    <n v="3211"/>
    <n v="1926.6000000000004"/>
    <n v="642.20000000000005"/>
  </r>
  <r>
    <x v="1"/>
    <x v="1"/>
    <x v="0"/>
    <x v="1"/>
    <n v="7978"/>
    <n v="4786.8000000000011"/>
    <n v="1595.6000000000001"/>
  </r>
  <r>
    <x v="1"/>
    <x v="1"/>
    <x v="1"/>
    <x v="0"/>
    <n v="1395"/>
    <n v="976.50000000000011"/>
    <n v="139.5"/>
  </r>
  <r>
    <x v="1"/>
    <x v="1"/>
    <x v="1"/>
    <x v="1"/>
    <n v="3286"/>
    <n v="2300.2000000000003"/>
    <n v="328.6"/>
  </r>
  <r>
    <x v="1"/>
    <x v="1"/>
    <x v="2"/>
    <x v="0"/>
    <n v="2947"/>
    <n v="1473.5"/>
    <n v="589.4"/>
  </r>
  <r>
    <x v="1"/>
    <x v="1"/>
    <x v="2"/>
    <x v="1"/>
    <n v="2187"/>
    <n v="1093.5"/>
    <n v="437.40000000000003"/>
  </r>
  <r>
    <x v="1"/>
    <x v="2"/>
    <x v="0"/>
    <x v="0"/>
    <n v="2405"/>
    <n v="1683.5000000000002"/>
    <n v="481"/>
  </r>
  <r>
    <x v="1"/>
    <x v="2"/>
    <x v="0"/>
    <x v="0"/>
    <n v="2405"/>
    <n v="1683.5000000000002"/>
    <n v="481"/>
  </r>
  <r>
    <x v="1"/>
    <x v="2"/>
    <x v="1"/>
    <x v="1"/>
    <n v="2912"/>
    <n v="1747.2000000000003"/>
    <n v="291.2"/>
  </r>
  <r>
    <x v="1"/>
    <x v="2"/>
    <x v="1"/>
    <x v="0"/>
    <n v="1625"/>
    <n v="975.00000000000011"/>
    <n v="162.5"/>
  </r>
  <r>
    <x v="1"/>
    <x v="2"/>
    <x v="2"/>
    <x v="1"/>
    <n v="6203"/>
    <n v="4342.1000000000004"/>
    <n v="1240.6000000000001"/>
  </r>
  <r>
    <x v="1"/>
    <x v="2"/>
    <x v="2"/>
    <x v="0"/>
    <n v="1690"/>
    <n v="1183"/>
    <n v="338"/>
  </r>
  <r>
    <x v="1"/>
    <x v="3"/>
    <x v="0"/>
    <x v="1"/>
    <n v="5075"/>
    <n v="3045.0000000000005"/>
    <n v="1015"/>
  </r>
  <r>
    <x v="1"/>
    <x v="3"/>
    <x v="0"/>
    <x v="0"/>
    <n v="2490"/>
    <n v="1494.0000000000002"/>
    <n v="498"/>
  </r>
  <r>
    <x v="1"/>
    <x v="3"/>
    <x v="1"/>
    <x v="1"/>
    <n v="4586"/>
    <n v="2293"/>
    <n v="917.2"/>
  </r>
  <r>
    <x v="1"/>
    <x v="3"/>
    <x v="1"/>
    <x v="0"/>
    <n v="1710"/>
    <n v="855"/>
    <n v="342"/>
  </r>
  <r>
    <x v="1"/>
    <x v="3"/>
    <x v="2"/>
    <x v="1"/>
    <n v="1126"/>
    <n v="900.80000000000007"/>
    <n v="225.20000000000002"/>
  </r>
  <r>
    <x v="1"/>
    <x v="3"/>
    <x v="2"/>
    <x v="0"/>
    <n v="1626"/>
    <n v="1300.8000000000002"/>
    <n v="325.20000000000005"/>
  </r>
  <r>
    <x v="1"/>
    <x v="4"/>
    <x v="0"/>
    <x v="1"/>
    <n v="7242"/>
    <n v="5069.4000000000005"/>
    <n v="1448.4"/>
  </r>
  <r>
    <x v="1"/>
    <x v="4"/>
    <x v="0"/>
    <x v="0"/>
    <n v="3789"/>
    <n v="2652.3"/>
    <n v="757.80000000000007"/>
  </r>
  <r>
    <x v="1"/>
    <x v="4"/>
    <x v="1"/>
    <x v="1"/>
    <n v="2666"/>
    <n v="1333"/>
    <n v="533.20000000000005"/>
  </r>
  <r>
    <x v="1"/>
    <x v="4"/>
    <x v="1"/>
    <x v="0"/>
    <n v="1738"/>
    <n v="869"/>
    <n v="347.6"/>
  </r>
  <r>
    <x v="1"/>
    <x v="4"/>
    <x v="2"/>
    <x v="1"/>
    <n v="4690"/>
    <n v="2345"/>
    <n v="469"/>
  </r>
  <r>
    <x v="1"/>
    <x v="4"/>
    <x v="2"/>
    <x v="0"/>
    <n v="3515"/>
    <n v="1757.5"/>
    <n v="351.5"/>
  </r>
  <r>
    <x v="1"/>
    <x v="5"/>
    <x v="0"/>
    <x v="1"/>
    <n v="9330"/>
    <n v="6531.0000000000009"/>
    <n v="1866"/>
  </r>
  <r>
    <x v="1"/>
    <x v="5"/>
    <x v="0"/>
    <x v="0"/>
    <n v="2298"/>
    <n v="1608.6000000000001"/>
    <n v="459.6"/>
  </r>
  <r>
    <x v="1"/>
    <x v="5"/>
    <x v="1"/>
    <x v="1"/>
    <n v="4027"/>
    <n v="2818.9"/>
    <n v="805.40000000000009"/>
  </r>
  <r>
    <x v="1"/>
    <x v="5"/>
    <x v="1"/>
    <x v="0"/>
    <n v="2471"/>
    <n v="1729.7000000000003"/>
    <n v="494.20000000000005"/>
  </r>
  <r>
    <x v="1"/>
    <x v="5"/>
    <x v="2"/>
    <x v="1"/>
    <n v="5311"/>
    <n v="4248.8"/>
    <n v="531.1"/>
  </r>
  <r>
    <x v="1"/>
    <x v="5"/>
    <x v="2"/>
    <x v="0"/>
    <n v="2532"/>
    <n v="2025.6000000000001"/>
    <n v="253.20000000000002"/>
  </r>
  <r>
    <x v="1"/>
    <x v="6"/>
    <x v="0"/>
    <x v="1"/>
    <n v="6979"/>
    <n v="4885.3"/>
    <n v="697.90000000000009"/>
  </r>
  <r>
    <x v="1"/>
    <x v="6"/>
    <x v="0"/>
    <x v="0"/>
    <n v="4440"/>
    <n v="3108.0000000000005"/>
    <n v="444"/>
  </r>
  <r>
    <x v="1"/>
    <x v="6"/>
    <x v="1"/>
    <x v="1"/>
    <n v="2778"/>
    <n v="1389"/>
    <n v="555.6"/>
  </r>
  <r>
    <x v="1"/>
    <x v="6"/>
    <x v="1"/>
    <x v="0"/>
    <n v="1689"/>
    <n v="844.5"/>
    <n v="337.8"/>
  </r>
  <r>
    <x v="1"/>
    <x v="6"/>
    <x v="2"/>
    <x v="1"/>
    <n v="6528"/>
    <n v="3264"/>
    <n v="652.80000000000007"/>
  </r>
  <r>
    <x v="1"/>
    <x v="6"/>
    <x v="2"/>
    <x v="0"/>
    <n v="1611"/>
    <n v="805.5"/>
    <n v="161.10000000000002"/>
  </r>
  <r>
    <x v="1"/>
    <x v="7"/>
    <x v="0"/>
    <x v="1"/>
    <n v="8809"/>
    <n v="4404.5"/>
    <n v="880.90000000000009"/>
  </r>
  <r>
    <x v="1"/>
    <x v="7"/>
    <x v="0"/>
    <x v="0"/>
    <n v="4901"/>
    <n v="2450.5"/>
    <n v="490.1"/>
  </r>
  <r>
    <x v="1"/>
    <x v="7"/>
    <x v="1"/>
    <x v="1"/>
    <n v="5369"/>
    <n v="2684.5"/>
    <n v="1073.8"/>
  </r>
  <r>
    <x v="1"/>
    <x v="7"/>
    <x v="1"/>
    <x v="0"/>
    <n v="2300"/>
    <n v="1150"/>
    <n v="460"/>
  </r>
  <r>
    <x v="1"/>
    <x v="7"/>
    <x v="2"/>
    <x v="1"/>
    <n v="7646"/>
    <n v="3823"/>
    <n v="1529.2"/>
  </r>
  <r>
    <x v="1"/>
    <x v="7"/>
    <x v="2"/>
    <x v="0"/>
    <n v="455"/>
    <n v="227.5"/>
    <n v="91"/>
  </r>
  <r>
    <x v="1"/>
    <x v="8"/>
    <x v="0"/>
    <x v="1"/>
    <n v="8073"/>
    <n v="4843.8000000000011"/>
    <n v="1614.6000000000001"/>
  </r>
  <r>
    <x v="1"/>
    <x v="8"/>
    <x v="0"/>
    <x v="0"/>
    <n v="3828"/>
    <n v="2296.8000000000002"/>
    <n v="765.6"/>
  </r>
  <r>
    <x v="1"/>
    <x v="8"/>
    <x v="1"/>
    <x v="1"/>
    <n v="4109"/>
    <n v="3287.2000000000003"/>
    <n v="410.90000000000003"/>
  </r>
  <r>
    <x v="1"/>
    <x v="8"/>
    <x v="1"/>
    <x v="0"/>
    <n v="3500"/>
    <n v="2800"/>
    <n v="350"/>
  </r>
  <r>
    <x v="1"/>
    <x v="8"/>
    <x v="2"/>
    <x v="1"/>
    <n v="5449"/>
    <n v="4359.2"/>
    <n v="544.9"/>
  </r>
  <r>
    <x v="1"/>
    <x v="8"/>
    <x v="2"/>
    <x v="0"/>
    <n v="3022"/>
    <n v="2417.6"/>
    <n v="302.2"/>
  </r>
  <r>
    <x v="1"/>
    <x v="9"/>
    <x v="0"/>
    <x v="1"/>
    <n v="7814"/>
    <n v="3907"/>
    <n v="1562.8000000000002"/>
  </r>
  <r>
    <x v="1"/>
    <x v="9"/>
    <x v="0"/>
    <x v="0"/>
    <n v="1808"/>
    <n v="904"/>
    <n v="361.6"/>
  </r>
  <r>
    <x v="1"/>
    <x v="9"/>
    <x v="1"/>
    <x v="1"/>
    <n v="3706"/>
    <n v="2594.2000000000003"/>
    <n v="741.2"/>
  </r>
  <r>
    <x v="1"/>
    <x v="9"/>
    <x v="1"/>
    <x v="0"/>
    <n v="2150"/>
    <n v="1505.0000000000002"/>
    <n v="430"/>
  </r>
  <r>
    <x v="1"/>
    <x v="9"/>
    <x v="2"/>
    <x v="1"/>
    <n v="4586"/>
    <n v="2751.6000000000004"/>
    <n v="458.6"/>
  </r>
  <r>
    <x v="1"/>
    <x v="9"/>
    <x v="2"/>
    <x v="0"/>
    <n v="3867"/>
    <n v="2320.2000000000003"/>
    <n v="386.7000000000000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C1E569B-33D3-C844-BE45-7B62FAB50679}" name="Sector Profitabili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J37:M41" firstHeaderRow="0" firstDataRow="1" firstDataCol="1" rowPageCount="3" colPageCount="1"/>
  <pivotFields count="10">
    <pivotField axis="axisPage" showAll="0">
      <items count="3">
        <item x="1"/>
        <item x="0"/>
        <item t="default"/>
      </items>
    </pivotField>
    <pivotField axis="axisPage" showAll="0">
      <items count="11">
        <item x="0"/>
        <item x="1"/>
        <item x="2"/>
        <item x="3"/>
        <item x="4"/>
        <item x="5"/>
        <item x="6"/>
        <item x="7"/>
        <item x="8"/>
        <item x="9"/>
        <item t="default"/>
      </items>
    </pivotField>
    <pivotField axis="axisRow" showAll="0">
      <items count="4">
        <item x="2"/>
        <item x="0"/>
        <item x="1"/>
        <item t="default"/>
      </items>
    </pivotField>
    <pivotField axis="axisPage" showAll="0">
      <items count="3">
        <item x="1"/>
        <item x="0"/>
        <item t="default"/>
      </items>
    </pivotField>
    <pivotField dataField="1" showAll="0"/>
    <pivotField dataField="1" numFmtId="2" showAll="0"/>
    <pivotField dataField="1" numFmtId="2" showAll="0"/>
    <pivotField dragToRow="0" dragToCol="0" dragToPage="0" showAll="0" defaultSubtotal="0"/>
    <pivotField dragToRow="0" dragToCol="0" dragToPage="0" showAll="0" defaultSubtotal="0"/>
    <pivotField dragToRow="0" dragToCol="0" dragToPage="0" showAll="0" defaultSubtotal="0"/>
  </pivotFields>
  <rowFields count="1">
    <field x="2"/>
  </rowFields>
  <rowItems count="4">
    <i>
      <x/>
    </i>
    <i>
      <x v="1"/>
    </i>
    <i>
      <x v="2"/>
    </i>
    <i t="grand">
      <x/>
    </i>
  </rowItems>
  <colFields count="1">
    <field x="-2"/>
  </colFields>
  <colItems count="3">
    <i>
      <x/>
    </i>
    <i i="1">
      <x v="1"/>
    </i>
    <i i="2">
      <x v="2"/>
    </i>
  </colItems>
  <pageFields count="3">
    <pageField fld="0" hier="-1"/>
    <pageField fld="1" hier="-1"/>
    <pageField fld="3" hier="-1"/>
  </pageFields>
  <dataFields count="3">
    <dataField name="Revenue   " fld="4" baseField="0" baseItem="0"/>
    <dataField name="Gross Profit    " fld="5" baseField="0" baseItem="0"/>
    <dataField name="EBITDA    " fld="6" baseField="0" baseItem="0"/>
  </dataFields>
  <chartFormats count="3">
    <chartFormat chart="2" format="6" series="1">
      <pivotArea type="data" outline="0" fieldPosition="0">
        <references count="1">
          <reference field="4294967294" count="1" selected="0">
            <x v="2"/>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F3F7827-5B5E-A64F-B5F4-7D364E955AC0}" name="Ma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22:K24" firstHeaderRow="1" firstDataRow="1" firstDataCol="1"/>
  <pivotFields count="10">
    <pivotField axis="axisRow" showAll="0">
      <items count="3">
        <item h="1" x="1"/>
        <item x="0"/>
        <item t="default"/>
      </items>
    </pivotField>
    <pivotField showAll="0"/>
    <pivotField showAll="0"/>
    <pivotField showAll="0"/>
    <pivotField dataField="1" showAll="0"/>
    <pivotField numFmtId="2" showAll="0"/>
    <pivotField numFmtId="2" showAll="0"/>
    <pivotField dragToRow="0" dragToCol="0" dragToPage="0" showAll="0" defaultSubtotal="0"/>
    <pivotField dragToRow="0" dragToCol="0" dragToPage="0" showAll="0" defaultSubtotal="0"/>
    <pivotField dragToRow="0" dragToCol="0" dragToPage="0" showAll="0" defaultSubtotal="0"/>
  </pivotFields>
  <rowFields count="1">
    <field x="0"/>
  </rowFields>
  <rowItems count="2">
    <i>
      <x v="1"/>
    </i>
    <i t="grand">
      <x/>
    </i>
  </rowItems>
  <colItems count="1">
    <i/>
  </colItems>
  <dataFields count="1">
    <dataField name="Sum of Revenue"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12B2259-CE2B-814D-B7D1-4AD691D3BBCA}" name="Revenue vs EBIDTA"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J6:L17" firstHeaderRow="0" firstDataRow="1" firstDataCol="1" rowPageCount="2" colPageCount="1"/>
  <pivotFields count="10">
    <pivotField showAll="0">
      <items count="3">
        <item x="1"/>
        <item x="0"/>
        <item t="default"/>
      </items>
    </pivotField>
    <pivotField axis="axisRow" showAll="0">
      <items count="11">
        <item x="0"/>
        <item x="1"/>
        <item x="2"/>
        <item x="3"/>
        <item x="4"/>
        <item x="5"/>
        <item x="6"/>
        <item x="7"/>
        <item x="8"/>
        <item x="9"/>
        <item t="default"/>
      </items>
    </pivotField>
    <pivotField axis="axisPage" showAll="0">
      <items count="4">
        <item x="2"/>
        <item x="0"/>
        <item x="1"/>
        <item t="default"/>
      </items>
    </pivotField>
    <pivotField axis="axisPage" showAll="0">
      <items count="3">
        <item x="1"/>
        <item x="0"/>
        <item t="default"/>
      </items>
    </pivotField>
    <pivotField dataField="1" showAll="0"/>
    <pivotField numFmtId="2" showAll="0"/>
    <pivotField dataField="1" numFmtId="2" showAll="0"/>
    <pivotField dragToRow="0" dragToCol="0" dragToPage="0" showAll="0" defaultSubtotal="0"/>
    <pivotField dragToRow="0" dragToCol="0" dragToPage="0" showAll="0" defaultSubtotal="0"/>
    <pivotField dragToRow="0" dragToCol="0" dragToPage="0" showAll="0" defaultSubtotal="0"/>
  </pivotFields>
  <rowFields count="1">
    <field x="1"/>
  </rowFields>
  <rowItems count="11">
    <i>
      <x/>
    </i>
    <i>
      <x v="1"/>
    </i>
    <i>
      <x v="2"/>
    </i>
    <i>
      <x v="3"/>
    </i>
    <i>
      <x v="4"/>
    </i>
    <i>
      <x v="5"/>
    </i>
    <i>
      <x v="6"/>
    </i>
    <i>
      <x v="7"/>
    </i>
    <i>
      <x v="8"/>
    </i>
    <i>
      <x v="9"/>
    </i>
    <i t="grand">
      <x/>
    </i>
  </rowItems>
  <colFields count="1">
    <field x="-2"/>
  </colFields>
  <colItems count="2">
    <i>
      <x/>
    </i>
    <i i="1">
      <x v="1"/>
    </i>
  </colItems>
  <pageFields count="2">
    <pageField fld="2" hier="-1"/>
    <pageField fld="3" hier="-1"/>
  </pageFields>
  <dataFields count="2">
    <dataField name="Revenue   " fld="4" baseField="0" baseItem="0"/>
    <dataField name="EBITDA " fld="6" baseField="0" baseItem="0"/>
  </dataFields>
  <chartFormats count="2">
    <chartFormat chart="2" format="5" series="1">
      <pivotArea type="data" outline="0" fieldPosition="0">
        <references count="1">
          <reference field="4294967294" count="1" selected="0">
            <x v="1"/>
          </reference>
        </references>
      </pivotArea>
    </chartFormat>
    <chartFormat chart="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ECC161B-39A6-F244-85F6-5269671C2EDF}" name="EBIDTA Margin Pie"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O17:P19" firstHeaderRow="1" firstDataRow="1" firstDataCol="1" rowPageCount="3" colPageCount="1"/>
  <pivotFields count="10">
    <pivotField showAll="0">
      <items count="3">
        <item x="1"/>
        <item x="0"/>
        <item t="default"/>
      </items>
    </pivotField>
    <pivotField axis="axisPage" showAll="0">
      <items count="11">
        <item x="0"/>
        <item x="1"/>
        <item x="2"/>
        <item x="3"/>
        <item x="4"/>
        <item x="5"/>
        <item x="6"/>
        <item x="7"/>
        <item x="8"/>
        <item x="9"/>
        <item t="default"/>
      </items>
    </pivotField>
    <pivotField axis="axisPage" showAll="0">
      <items count="4">
        <item x="2"/>
        <item x="0"/>
        <item x="1"/>
        <item t="default"/>
      </items>
    </pivotField>
    <pivotField axis="axisPage" showAll="0">
      <items count="3">
        <item x="1"/>
        <item x="0"/>
        <item t="default"/>
      </items>
    </pivotField>
    <pivotField showAll="0"/>
    <pivotField numFmtId="2" showAll="0"/>
    <pivotField dataField="1" numFmtId="2" showAll="0"/>
    <pivotField dragToRow="0" dragToCol="0" dragToPage="0" showAll="0" defaultSubtotal="0"/>
    <pivotField dragToRow="0" dragToCol="0" dragToPage="0" showAll="0" defaultSubtotal="0"/>
    <pivotField dataField="1" dragToRow="0" dragToCol="0" dragToPage="0" showAll="0" defaultSubtotal="0"/>
  </pivotFields>
  <rowFields count="1">
    <field x="-2"/>
  </rowFields>
  <rowItems count="2">
    <i>
      <x/>
    </i>
    <i i="1">
      <x v="1"/>
    </i>
  </rowItems>
  <colItems count="1">
    <i/>
  </colItems>
  <pageFields count="3">
    <pageField fld="1" hier="-1"/>
    <pageField fld="2" hier="-1"/>
    <pageField fld="3" hier="-1"/>
  </pageFields>
  <dataFields count="2">
    <dataField name="Sum of EBITDA" fld="6" baseField="0" baseItem="0"/>
    <dataField name="Sum of Difference Revenue/EBIDTA" fld="9" baseField="0" baseItem="0" numFmtId="2"/>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1">
          <reference field="4294967294" count="1" selected="0">
            <x v="0"/>
          </reference>
        </references>
      </pivotArea>
    </chartFormat>
    <chartFormat chart="2" format="6">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26583DA-96FF-D446-8732-FBF4D7DC5189}" name="Gross Margin Pie"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O6:P8" firstHeaderRow="1" firstDataRow="1" firstDataCol="1" rowPageCount="3" colPageCount="1"/>
  <pivotFields count="10">
    <pivotField showAll="0">
      <items count="3">
        <item x="1"/>
        <item x="0"/>
        <item t="default"/>
      </items>
    </pivotField>
    <pivotField axis="axisPage" showAll="0">
      <items count="11">
        <item x="0"/>
        <item x="1"/>
        <item x="2"/>
        <item x="3"/>
        <item x="4"/>
        <item x="5"/>
        <item x="6"/>
        <item x="7"/>
        <item x="8"/>
        <item x="9"/>
        <item t="default"/>
      </items>
    </pivotField>
    <pivotField axis="axisPage" showAll="0">
      <items count="4">
        <item x="2"/>
        <item x="0"/>
        <item x="1"/>
        <item t="default"/>
      </items>
    </pivotField>
    <pivotField axis="axisPage" showAll="0">
      <items count="3">
        <item x="1"/>
        <item x="0"/>
        <item t="default"/>
      </items>
    </pivotField>
    <pivotField showAll="0"/>
    <pivotField dataField="1" numFmtId="2" showAll="0"/>
    <pivotField numFmtId="2" showAll="0"/>
    <pivotField dragToRow="0" dragToCol="0" dragToPage="0" showAll="0" defaultSubtotal="0"/>
    <pivotField dataField="1" dragToRow="0" dragToCol="0" dragToPage="0" showAll="0" defaultSubtotal="0"/>
    <pivotField dragToRow="0" dragToCol="0" dragToPage="0" showAll="0" defaultSubtotal="0"/>
  </pivotFields>
  <rowFields count="1">
    <field x="-2"/>
  </rowFields>
  <rowItems count="2">
    <i>
      <x/>
    </i>
    <i i="1">
      <x v="1"/>
    </i>
  </rowItems>
  <colItems count="1">
    <i/>
  </colItems>
  <pageFields count="3">
    <pageField fld="1" hier="-1"/>
    <pageField fld="2" hier="-1"/>
    <pageField fld="3" hier="-1"/>
  </pageFields>
  <dataFields count="2">
    <dataField name="Sum of Gross Profit" fld="5" baseField="0" baseItem="0"/>
    <dataField name="Sum of Difference Revenue/Gross Profit" fld="8" baseField="0" baseItem="0" numFmtId="2"/>
  </dataFields>
  <formats count="1">
    <format dxfId="9">
      <pivotArea collapsedLevelsAreSubtotals="1" fieldPosition="0">
        <references count="1">
          <reference field="4294967294" count="1">
            <x v="1"/>
          </reference>
        </references>
      </pivotArea>
    </format>
  </format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1">
          <reference field="4294967294" count="1" selected="0">
            <x v="0"/>
          </reference>
        </references>
      </pivotArea>
    </chartFormat>
    <chartFormat chart="3" format="6">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C16F375-4596-6C40-B051-6DE667AED2A5}" name="EBIDTA Bridg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J47:L48" firstHeaderRow="0" firstDataRow="1" firstDataCol="0"/>
  <pivotFields count="10">
    <pivotField showAll="0">
      <items count="3">
        <item x="1"/>
        <item x="0"/>
        <item t="default"/>
      </items>
    </pivotField>
    <pivotField showAll="0">
      <items count="11">
        <item x="0"/>
        <item x="1"/>
        <item x="2"/>
        <item x="3"/>
        <item x="4"/>
        <item x="5"/>
        <item x="6"/>
        <item x="7"/>
        <item x="8"/>
        <item x="9"/>
        <item t="default"/>
      </items>
    </pivotField>
    <pivotField showAll="0">
      <items count="4">
        <item x="2"/>
        <item x="0"/>
        <item x="1"/>
        <item t="default"/>
      </items>
    </pivotField>
    <pivotField showAll="0">
      <items count="3">
        <item x="1"/>
        <item x="0"/>
        <item t="default"/>
      </items>
    </pivotField>
    <pivotField dataField="1" showAll="0"/>
    <pivotField dataField="1" numFmtId="2" showAll="0"/>
    <pivotField dataField="1" numFmtId="2" showAll="0"/>
    <pivotField dragToRow="0" dragToCol="0" dragToPage="0" showAll="0" defaultSubtotal="0"/>
    <pivotField dragToRow="0" dragToCol="0" dragToPage="0" showAll="0" defaultSubtotal="0"/>
    <pivotField dragToRow="0" dragToCol="0" dragToPage="0" showAll="0" defaultSubtotal="0"/>
  </pivotFields>
  <rowItems count="1">
    <i/>
  </rowItems>
  <colFields count="1">
    <field x="-2"/>
  </colFields>
  <colItems count="3">
    <i>
      <x/>
    </i>
    <i i="1">
      <x v="1"/>
    </i>
    <i i="2">
      <x v="2"/>
    </i>
  </colItems>
  <dataFields count="3">
    <dataField name="Sum of Revenue" fld="4" baseField="0" baseItem="0"/>
    <dataField name="Sum of Gross Profit" fld="5" baseField="0" baseItem="0"/>
    <dataField name="Sum of EBITDA"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rvice" xr10:uid="{60509ABC-EF18-3947-85C8-5C549B151F5F}" sourceName="Service">
  <pivotTables>
    <pivotTable tabId="4" name="Revenue vs EBIDTA"/>
    <pivotTable tabId="4" name="Sector Profitability"/>
    <pivotTable tabId="4" name="EBIDTA Margin Pie"/>
    <pivotTable tabId="4" name="Gross Margin Pie"/>
    <pivotTable tabId="4" name="EBIDTA Bridge"/>
  </pivotTables>
  <data>
    <tabular pivotCacheId="1171947357">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66FDCC41-4987-9A42-B8DE-10FAE955BE29}" sourceName="Customer Type">
  <pivotTables>
    <pivotTable tabId="4" name="Revenue vs EBIDTA"/>
    <pivotTable tabId="4" name="Sector Profitability"/>
    <pivotTable tabId="4" name="EBIDTA Margin Pie"/>
    <pivotTable tabId="4" name="Gross Margin Pie"/>
    <pivotTable tabId="4" name="EBIDTA Bridge"/>
  </pivotTables>
  <data>
    <tabular pivotCacheId="1171947357">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8119E5A-7A24-6849-AFAF-19C51A018F70}" sourceName="Year">
  <pivotTables>
    <pivotTable tabId="4" name="Sector Profitability"/>
    <pivotTable tabId="4" name="EBIDTA Bridge"/>
    <pivotTable tabId="4" name="EBIDTA Margin Pie"/>
    <pivotTable tabId="4" name="Gross Margin Pie"/>
  </pivotTables>
  <data>
    <tabular pivotCacheId="1171947357">
      <items count="10">
        <i x="0" s="1"/>
        <i x="1" s="1"/>
        <i x="2" s="1"/>
        <i x="3" s="1"/>
        <i x="4" s="1"/>
        <i x="5" s="1"/>
        <i x="6" s="1"/>
        <i x="7" s="1"/>
        <i x="8" s="1"/>
        <i x="9"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55BD6AF6-7807-B747-8D6B-E69CC3434EBB}" sourceName="Country">
  <pivotTables>
    <pivotTable tabId="4" name="Revenue vs EBIDTA"/>
    <pivotTable tabId="4" name="EBIDTA Bridge"/>
    <pivotTable tabId="4" name="EBIDTA Margin Pie"/>
    <pivotTable tabId="4" name="Gross Margin Pie"/>
    <pivotTable tabId="4" name="Sector Profitability"/>
  </pivotTables>
  <data>
    <tabular pivotCacheId="1171947357">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rvice" xr10:uid="{D5F66D30-4844-954C-A5B0-ED97FA30721F}" cache="Slicer_Service" caption="Service" rowHeight="251883"/>
  <slicer name="Customer Type" xr10:uid="{5BB36B3F-2370-CA4D-8482-254122808431}" cache="Slicer_Customer_Type" caption="Customer Type" rowHeight="251883"/>
  <slicer name="Year" xr10:uid="{2DBCFC05-F90E-DB4E-8EE0-DCACC11D20C7}" cache="Slicer_Year" caption="Year" columnCount="2" rowHeight="251883"/>
  <slicer name="Country" xr10:uid="{C3C1A216-D55E-B84F-8A34-D33891EEBF4F}" cache="Slicer_Country" caption="Country" columnCount="2"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DCF0BA5-0413-8D4F-BE8D-211EFD1AB109}" name="Table1" displayName="Table1" ref="A1:G241" totalsRowShown="0" headerRowDxfId="8">
  <autoFilter ref="A1:G241" xr:uid="{8DCF0BA5-0413-8D4F-BE8D-211EFD1AB109}"/>
  <tableColumns count="7">
    <tableColumn id="1" xr3:uid="{4ACE4C3A-1611-044C-8F28-E1440B35068B}" name="Country" dataDxfId="7"/>
    <tableColumn id="2" xr3:uid="{30A2FFA4-6B4A-C940-BC81-0742F87B8402}" name="Year" dataDxfId="6"/>
    <tableColumn id="3" xr3:uid="{1C5B6AE9-5A5F-B545-849B-551C47DA9779}" name="Service" dataDxfId="5"/>
    <tableColumn id="4" xr3:uid="{A9181035-3B4B-0548-A11E-2521108B3AAF}" name="Customer Type" dataDxfId="4"/>
    <tableColumn id="5" xr3:uid="{91AA2906-C7C8-8046-8F3D-FD2105B66F2A}" name="Revenue">
      <calculatedColumnFormula>INDEX('Financials Canada'!$E$7:$N$19,MATCH('Input Data'!D2&amp;C2,'Financials Canada'!$A$7:$A$19,0),MATCH('Input Data'!B2,'Financials Canada'!$E$1:$N$1,0))</calculatedColumnFormula>
    </tableColumn>
    <tableColumn id="6" xr3:uid="{1405442A-2315-FA40-B25D-B9635D08197E}" name="Gross Profit" dataDxfId="3">
      <calculatedColumnFormula>_xlfn.XLOOKUP(A2&amp;B2&amp;C2,'Gross Profit &amp; EBITDA'!D:D,'Gross Profit &amp; EBITDA'!E:E,"",0,1)*E2</calculatedColumnFormula>
    </tableColumn>
    <tableColumn id="7" xr3:uid="{87E47083-99DF-8E44-BFF1-44EF29EDB8D2}" name="EBITDA" dataDxfId="2">
      <calculatedColumnFormula>_xlfn.XLOOKUP(A2&amp;B2&amp;C2,'Gross Profit &amp; EBITDA'!D:D,'Gross Profit &amp; EBITDA'!F:F,"",0,1)*E2</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3AD83F7-AEE8-7B47-A1AD-7E94091AD732}" name="Table2" displayName="Table2" ref="J27:K29" totalsRowShown="0">
  <autoFilter ref="J27:K29" xr:uid="{23AD83F7-AEE8-7B47-A1AD-7E94091AD732}"/>
  <tableColumns count="2">
    <tableColumn id="1" xr3:uid="{3A29537E-DF0B-4546-A8FE-45B705924F39}" name="Country" dataDxfId="1"/>
    <tableColumn id="2" xr3:uid="{4182233C-1D85-954E-8023-1CC35582E333}" name="Revenu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table" Target="../tables/table2.xml"/><Relationship Id="rId3" Type="http://schemas.openxmlformats.org/officeDocument/2006/relationships/pivotTable" Target="../pivotTables/pivotTable3.xml"/><Relationship Id="rId7" Type="http://schemas.openxmlformats.org/officeDocument/2006/relationships/table" Target="../tables/tabl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C53C8-F28E-8841-98ED-7802D48B7770}">
  <dimension ref="A1"/>
  <sheetViews>
    <sheetView showGridLines="0" tabSelected="1" zoomScale="75" workbookViewId="0">
      <selection activeCell="Y16" sqref="Y16"/>
    </sheetView>
  </sheetViews>
  <sheetFormatPr baseColWidth="10" defaultRowHeight="16" x14ac:dyDescent="0.2"/>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F52B6-20C1-4249-B1F2-173B76C9CE69}">
  <dimension ref="A1:R241"/>
  <sheetViews>
    <sheetView topLeftCell="D1" workbookViewId="0">
      <selection activeCell="J6" sqref="J6"/>
    </sheetView>
  </sheetViews>
  <sheetFormatPr baseColWidth="10" defaultRowHeight="16" x14ac:dyDescent="0.2"/>
  <cols>
    <col min="1" max="1" width="10" customWidth="1"/>
    <col min="2" max="2" width="7.1640625" customWidth="1"/>
    <col min="3" max="3" width="18" bestFit="1" customWidth="1"/>
    <col min="4" max="4" width="15.83203125" customWidth="1"/>
    <col min="5" max="5" width="10.5" customWidth="1"/>
    <col min="6" max="6" width="17.83203125" customWidth="1"/>
    <col min="7" max="7" width="12.6640625" customWidth="1"/>
    <col min="10" max="10" width="14.1640625" bestFit="1" customWidth="1"/>
    <col min="11" max="11" width="17.33203125" bestFit="1" customWidth="1"/>
    <col min="12" max="12" width="13.1640625" bestFit="1" customWidth="1"/>
    <col min="13" max="13" width="9.1640625" bestFit="1" customWidth="1"/>
    <col min="15" max="15" width="33.33203125" bestFit="1" customWidth="1"/>
    <col min="16" max="16" width="14.1640625" customWidth="1"/>
  </cols>
  <sheetData>
    <row r="1" spans="1:16" x14ac:dyDescent="0.2">
      <c r="A1" s="28" t="s">
        <v>11</v>
      </c>
      <c r="B1" s="28" t="s">
        <v>0</v>
      </c>
      <c r="C1" s="28" t="s">
        <v>16</v>
      </c>
      <c r="D1" s="28" t="s">
        <v>17</v>
      </c>
      <c r="E1" s="28" t="s">
        <v>18</v>
      </c>
      <c r="F1" s="28" t="s">
        <v>19</v>
      </c>
      <c r="G1" s="28" t="s">
        <v>20</v>
      </c>
    </row>
    <row r="2" spans="1:16" x14ac:dyDescent="0.2">
      <c r="A2" s="29" t="s">
        <v>14</v>
      </c>
      <c r="B2" s="29">
        <v>2018</v>
      </c>
      <c r="C2" s="29" t="s">
        <v>5</v>
      </c>
      <c r="D2" s="29" t="s">
        <v>4</v>
      </c>
      <c r="E2">
        <f>INDEX('Financials USA'!$E$7:$N$19,MATCH('Input Data'!D2&amp;C2,'Financials USA'!$A$7:$A$19,0),MATCH('Input Data'!B2,'Financials USA'!$E$1:$N$1,0))</f>
        <v>1869</v>
      </c>
      <c r="F2" s="30">
        <f>_xlfn.XLOOKUP(A2&amp;B2&amp;C2,'Gross Profit &amp; EBITDA'!D:D,'Gross Profit &amp; EBITDA'!E:E,"",0,1)*E2</f>
        <v>934.5</v>
      </c>
      <c r="G2" s="30">
        <f>_xlfn.XLOOKUP(A2&amp;B2&amp;C2,'Gross Profit &amp; EBITDA'!D:D,'Gross Profit &amp; EBITDA'!F:F,"",0,1)*E2</f>
        <v>373.8</v>
      </c>
      <c r="O2" s="31" t="s">
        <v>0</v>
      </c>
      <c r="P2" t="s">
        <v>27</v>
      </c>
    </row>
    <row r="3" spans="1:16" x14ac:dyDescent="0.2">
      <c r="A3" s="29" t="s">
        <v>14</v>
      </c>
      <c r="B3" s="29">
        <v>2018</v>
      </c>
      <c r="C3" s="29" t="s">
        <v>5</v>
      </c>
      <c r="D3" s="29" t="s">
        <v>6</v>
      </c>
      <c r="E3">
        <f>INDEX('Financials USA'!$E$7:$N$19,MATCH('Input Data'!D3&amp;C3,'Financials USA'!$A$7:$A$19,0),MATCH('Input Data'!B3,'Financials USA'!$E$1:$N$1,0))</f>
        <v>23961</v>
      </c>
      <c r="F3" s="30">
        <f>_xlfn.XLOOKUP(A3&amp;B3&amp;C3,'Gross Profit &amp; EBITDA'!D:D,'Gross Profit &amp; EBITDA'!E:E,"",0,1)*E3</f>
        <v>11980.5</v>
      </c>
      <c r="G3" s="30">
        <f>_xlfn.XLOOKUP(A3&amp;B3&amp;C3,'Gross Profit &amp; EBITDA'!D:D,'Gross Profit &amp; EBITDA'!F:F,"",0,1)*E3</f>
        <v>4792.2</v>
      </c>
      <c r="J3" s="31" t="s">
        <v>16</v>
      </c>
      <c r="K3" t="s">
        <v>27</v>
      </c>
      <c r="O3" s="31" t="s">
        <v>16</v>
      </c>
      <c r="P3" t="s">
        <v>27</v>
      </c>
    </row>
    <row r="4" spans="1:16" x14ac:dyDescent="0.2">
      <c r="A4" s="29" t="s">
        <v>14</v>
      </c>
      <c r="B4" s="29">
        <v>2018</v>
      </c>
      <c r="C4" s="29" t="s">
        <v>8</v>
      </c>
      <c r="D4" s="29" t="s">
        <v>4</v>
      </c>
      <c r="E4">
        <f>INDEX('Financials USA'!$E$7:$N$19,MATCH('Input Data'!D4&amp;C4,'Financials USA'!$A$7:$A$19,0),MATCH('Input Data'!B4,'Financials USA'!$E$1:$N$1,0))</f>
        <v>5607</v>
      </c>
      <c r="F4" s="30">
        <f>_xlfn.XLOOKUP(A4&amp;B4&amp;C4,'Gross Profit &amp; EBITDA'!D:D,'Gross Profit &amp; EBITDA'!E:E,"",0,1)*E4</f>
        <v>3924.9000000000005</v>
      </c>
      <c r="G4" s="30">
        <f>_xlfn.XLOOKUP(A4&amp;B4&amp;C4,'Gross Profit &amp; EBITDA'!D:D,'Gross Profit &amp; EBITDA'!F:F,"",0,1)*E4</f>
        <v>1121.4000000000001</v>
      </c>
      <c r="J4" s="31" t="s">
        <v>17</v>
      </c>
      <c r="K4" t="s">
        <v>27</v>
      </c>
      <c r="O4" s="31" t="s">
        <v>17</v>
      </c>
      <c r="P4" t="s">
        <v>27</v>
      </c>
    </row>
    <row r="5" spans="1:16" x14ac:dyDescent="0.2">
      <c r="A5" s="29" t="s">
        <v>14</v>
      </c>
      <c r="B5" s="29">
        <v>2018</v>
      </c>
      <c r="C5" s="29" t="s">
        <v>8</v>
      </c>
      <c r="D5" s="29" t="s">
        <v>6</v>
      </c>
      <c r="E5">
        <f>INDEX('Financials USA'!$E$7:$N$19,MATCH('Input Data'!D5&amp;C5,'Financials USA'!$A$7:$A$19,0),MATCH('Input Data'!B5,'Financials USA'!$E$1:$N$1,0))</f>
        <v>23961</v>
      </c>
      <c r="F5" s="30">
        <f>_xlfn.XLOOKUP(A5&amp;B5&amp;C5,'Gross Profit &amp; EBITDA'!D:D,'Gross Profit &amp; EBITDA'!E:E,"",0,1)*E5</f>
        <v>16772.7</v>
      </c>
      <c r="G5" s="30">
        <f>_xlfn.XLOOKUP(A5&amp;B5&amp;C5,'Gross Profit &amp; EBITDA'!D:D,'Gross Profit &amp; EBITDA'!F:F,"",0,1)*E5</f>
        <v>4792.2</v>
      </c>
    </row>
    <row r="6" spans="1:16" x14ac:dyDescent="0.2">
      <c r="A6" s="29" t="s">
        <v>14</v>
      </c>
      <c r="B6" s="29">
        <v>2018</v>
      </c>
      <c r="C6" s="29" t="s">
        <v>9</v>
      </c>
      <c r="D6" s="29" t="s">
        <v>4</v>
      </c>
      <c r="E6">
        <f>INDEX('Financials USA'!$E$7:$N$19,MATCH('Input Data'!D6&amp;C6,'Financials USA'!$A$7:$A$19,0),MATCH('Input Data'!B6,'Financials USA'!$E$1:$N$1,0))</f>
        <v>684</v>
      </c>
      <c r="F6" s="30">
        <f>_xlfn.XLOOKUP(A6&amp;B6&amp;C6,'Gross Profit &amp; EBITDA'!D:D,'Gross Profit &amp; EBITDA'!E:E,"",0,1)*E6</f>
        <v>478.80000000000007</v>
      </c>
      <c r="G6" s="30">
        <f>_xlfn.XLOOKUP(A6&amp;B6&amp;C6,'Gross Profit &amp; EBITDA'!D:D,'Gross Profit &amp; EBITDA'!F:F,"",0,1)*E6</f>
        <v>68.400000000000006</v>
      </c>
      <c r="J6" s="31" t="s">
        <v>23</v>
      </c>
      <c r="K6" t="s">
        <v>38</v>
      </c>
      <c r="L6" t="s">
        <v>37</v>
      </c>
      <c r="O6" s="31" t="s">
        <v>32</v>
      </c>
    </row>
    <row r="7" spans="1:16" x14ac:dyDescent="0.2">
      <c r="A7" s="29" t="s">
        <v>14</v>
      </c>
      <c r="B7" s="29">
        <v>2018</v>
      </c>
      <c r="C7" s="29" t="s">
        <v>9</v>
      </c>
      <c r="D7" s="29" t="s">
        <v>6</v>
      </c>
      <c r="E7">
        <f>INDEX('Financials USA'!$E$7:$N$19,MATCH('Input Data'!D7&amp;C7,'Financials USA'!$A$7:$A$19,0),MATCH('Input Data'!B7,'Financials USA'!$E$1:$N$1,0))</f>
        <v>9098</v>
      </c>
      <c r="F7" s="30">
        <f>_xlfn.XLOOKUP(A7&amp;B7&amp;C7,'Gross Profit &amp; EBITDA'!D:D,'Gross Profit &amp; EBITDA'!E:E,"",0,1)*E7</f>
        <v>6368.6</v>
      </c>
      <c r="G7" s="30">
        <f>_xlfn.XLOOKUP(A7&amp;B7&amp;C7,'Gross Profit &amp; EBITDA'!D:D,'Gross Profit &amp; EBITDA'!F:F,"",0,1)*E7</f>
        <v>909.80000000000007</v>
      </c>
      <c r="J7" s="32">
        <v>2018</v>
      </c>
      <c r="K7">
        <v>172710</v>
      </c>
      <c r="L7">
        <v>31368.400000000001</v>
      </c>
      <c r="O7" s="32" t="s">
        <v>25</v>
      </c>
      <c r="P7">
        <v>2075197.2000000009</v>
      </c>
    </row>
    <row r="8" spans="1:16" x14ac:dyDescent="0.2">
      <c r="A8" s="29" t="s">
        <v>14</v>
      </c>
      <c r="B8" s="29">
        <v>2019</v>
      </c>
      <c r="C8" s="29" t="s">
        <v>5</v>
      </c>
      <c r="D8" s="29" t="s">
        <v>4</v>
      </c>
      <c r="E8">
        <f>INDEX('Financials USA'!$E$7:$N$19,MATCH('Input Data'!D8&amp;C8,'Financials USA'!$A$7:$A$19,0),MATCH('Input Data'!B8,'Financials USA'!$E$1:$N$1,0))</f>
        <v>3211</v>
      </c>
      <c r="F8" s="30">
        <f>_xlfn.XLOOKUP(A8&amp;B8&amp;C8,'Gross Profit &amp; EBITDA'!D:D,'Gross Profit &amp; EBITDA'!E:E,"",0,1)*E8</f>
        <v>1605.5</v>
      </c>
      <c r="G8" s="30">
        <f>_xlfn.XLOOKUP(A8&amp;B8&amp;C8,'Gross Profit &amp; EBITDA'!D:D,'Gross Profit &amp; EBITDA'!F:F,"",0,1)*E8</f>
        <v>321.10000000000002</v>
      </c>
      <c r="J8" s="32">
        <v>2019</v>
      </c>
      <c r="K8">
        <v>372232</v>
      </c>
      <c r="L8">
        <v>47960.799999999996</v>
      </c>
      <c r="O8" s="32" t="s">
        <v>33</v>
      </c>
      <c r="P8" s="33">
        <v>1369606.7999999991</v>
      </c>
    </row>
    <row r="9" spans="1:16" x14ac:dyDescent="0.2">
      <c r="A9" s="29" t="s">
        <v>14</v>
      </c>
      <c r="B9" s="29">
        <v>2019</v>
      </c>
      <c r="C9" s="29" t="s">
        <v>5</v>
      </c>
      <c r="D9" s="29" t="s">
        <v>6</v>
      </c>
      <c r="E9">
        <f>INDEX('Financials USA'!$E$7:$N$19,MATCH('Input Data'!D9&amp;C9,'Financials USA'!$A$7:$A$19,0),MATCH('Input Data'!B9,'Financials USA'!$E$1:$N$1,0))</f>
        <v>15956</v>
      </c>
      <c r="F9" s="30">
        <f>_xlfn.XLOOKUP(A9&amp;B9&amp;C9,'Gross Profit &amp; EBITDA'!D:D,'Gross Profit &amp; EBITDA'!E:E,"",0,1)*E9</f>
        <v>7978</v>
      </c>
      <c r="G9" s="30">
        <f>_xlfn.XLOOKUP(A9&amp;B9&amp;C9,'Gross Profit &amp; EBITDA'!D:D,'Gross Profit &amp; EBITDA'!F:F,"",0,1)*E9</f>
        <v>1595.6000000000001</v>
      </c>
      <c r="J9" s="32">
        <v>2020</v>
      </c>
      <c r="K9">
        <v>253994</v>
      </c>
      <c r="L9">
        <v>44749.399999999994</v>
      </c>
    </row>
    <row r="10" spans="1:16" x14ac:dyDescent="0.2">
      <c r="A10" s="29" t="s">
        <v>14</v>
      </c>
      <c r="B10" s="29">
        <v>2019</v>
      </c>
      <c r="C10" s="29" t="s">
        <v>8</v>
      </c>
      <c r="D10" s="29" t="s">
        <v>4</v>
      </c>
      <c r="E10">
        <f>INDEX('Financials USA'!$E$7:$N$19,MATCH('Input Data'!D10&amp;C10,'Financials USA'!$A$7:$A$19,0),MATCH('Input Data'!B10,'Financials USA'!$E$1:$N$1,0))</f>
        <v>12844</v>
      </c>
      <c r="F10" s="30">
        <f>_xlfn.XLOOKUP(A10&amp;B10&amp;C10,'Gross Profit &amp; EBITDA'!D:D,'Gross Profit &amp; EBITDA'!E:E,"",0,1)*E10</f>
        <v>6422</v>
      </c>
      <c r="G10" s="30">
        <f>_xlfn.XLOOKUP(A10&amp;B10&amp;C10,'Gross Profit &amp; EBITDA'!D:D,'Gross Profit &amp; EBITDA'!F:F,"",0,1)*E10</f>
        <v>1284.4000000000001</v>
      </c>
      <c r="J10" s="32">
        <v>2021</v>
      </c>
      <c r="K10">
        <v>341092</v>
      </c>
      <c r="L10">
        <v>43972.399999999987</v>
      </c>
      <c r="O10" t="s">
        <v>36</v>
      </c>
      <c r="P10" s="26">
        <f>GETPIVOTDATA("Sum of Gross Profit",$O$6)/SUM(P7:P8)</f>
        <v>0.60241372223209244</v>
      </c>
    </row>
    <row r="11" spans="1:16" x14ac:dyDescent="0.2">
      <c r="A11" s="29" t="s">
        <v>14</v>
      </c>
      <c r="B11" s="29">
        <v>2019</v>
      </c>
      <c r="C11" s="29" t="s">
        <v>8</v>
      </c>
      <c r="D11" s="29" t="s">
        <v>6</v>
      </c>
      <c r="E11">
        <f>INDEX('Financials USA'!$E$7:$N$19,MATCH('Input Data'!D11&amp;C11,'Financials USA'!$A$7:$A$19,0),MATCH('Input Data'!B11,'Financials USA'!$E$1:$N$1,0))</f>
        <v>95736</v>
      </c>
      <c r="F11" s="30">
        <f>_xlfn.XLOOKUP(A11&amp;B11&amp;C11,'Gross Profit &amp; EBITDA'!D:D,'Gross Profit &amp; EBITDA'!E:E,"",0,1)*E11</f>
        <v>47868</v>
      </c>
      <c r="G11" s="30">
        <f>_xlfn.XLOOKUP(A11&amp;B11&amp;C11,'Gross Profit &amp; EBITDA'!D:D,'Gross Profit &amp; EBITDA'!F:F,"",0,1)*E11</f>
        <v>9573.6</v>
      </c>
      <c r="J11" s="32">
        <v>2022</v>
      </c>
      <c r="K11">
        <v>362808</v>
      </c>
      <c r="L11">
        <v>39367.799999999996</v>
      </c>
    </row>
    <row r="12" spans="1:16" x14ac:dyDescent="0.2">
      <c r="A12" s="29" t="s">
        <v>14</v>
      </c>
      <c r="B12" s="29">
        <v>2019</v>
      </c>
      <c r="C12" s="29" t="s">
        <v>9</v>
      </c>
      <c r="D12" s="29" t="s">
        <v>4</v>
      </c>
      <c r="E12">
        <f>INDEX('Financials USA'!$E$7:$N$19,MATCH('Input Data'!D12&amp;C12,'Financials USA'!$A$7:$A$19,0),MATCH('Input Data'!B12,'Financials USA'!$E$1:$N$1,0))</f>
        <v>17682</v>
      </c>
      <c r="F12" s="30">
        <f>_xlfn.XLOOKUP(A12&amp;B12&amp;C12,'Gross Profit &amp; EBITDA'!D:D,'Gross Profit &amp; EBITDA'!E:E,"",0,1)*E12</f>
        <v>10609.2</v>
      </c>
      <c r="G12" s="30">
        <f>_xlfn.XLOOKUP(A12&amp;B12&amp;C12,'Gross Profit &amp; EBITDA'!D:D,'Gross Profit &amp; EBITDA'!F:F,"",0,1)*E12</f>
        <v>3536.4</v>
      </c>
      <c r="J12" s="32">
        <v>2023</v>
      </c>
      <c r="K12">
        <v>396536</v>
      </c>
      <c r="L12">
        <v>73539.200000000012</v>
      </c>
    </row>
    <row r="13" spans="1:16" x14ac:dyDescent="0.2">
      <c r="A13" s="29" t="s">
        <v>14</v>
      </c>
      <c r="B13" s="29">
        <v>2019</v>
      </c>
      <c r="C13" s="29" t="s">
        <v>9</v>
      </c>
      <c r="D13" s="29" t="s">
        <v>6</v>
      </c>
      <c r="E13">
        <f>INDEX('Financials USA'!$E$7:$N$19,MATCH('Input Data'!D13&amp;C13,'Financials USA'!$A$7:$A$19,0),MATCH('Input Data'!B13,'Financials USA'!$E$1:$N$1,0))</f>
        <v>19683</v>
      </c>
      <c r="F13" s="30">
        <f>_xlfn.XLOOKUP(A13&amp;B13&amp;C13,'Gross Profit &amp; EBITDA'!D:D,'Gross Profit &amp; EBITDA'!E:E,"",0,1)*E13</f>
        <v>11809.800000000001</v>
      </c>
      <c r="G13" s="30">
        <f>_xlfn.XLOOKUP(A13&amp;B13&amp;C13,'Gross Profit &amp; EBITDA'!D:D,'Gross Profit &amp; EBITDA'!F:F,"",0,1)*E13</f>
        <v>3936.6000000000004</v>
      </c>
      <c r="J13" s="32">
        <v>2024</v>
      </c>
      <c r="K13">
        <v>316422</v>
      </c>
      <c r="L13">
        <v>37103.200000000004</v>
      </c>
      <c r="O13" s="31" t="s">
        <v>0</v>
      </c>
      <c r="P13" t="s">
        <v>27</v>
      </c>
    </row>
    <row r="14" spans="1:16" x14ac:dyDescent="0.2">
      <c r="A14" s="29" t="s">
        <v>14</v>
      </c>
      <c r="B14" s="29">
        <v>2020</v>
      </c>
      <c r="C14" s="29" t="s">
        <v>5</v>
      </c>
      <c r="D14" s="29" t="s">
        <v>4</v>
      </c>
      <c r="E14">
        <f>INDEX('Financials USA'!$E$7:$N$19,MATCH('Input Data'!D14&amp;C14,'Financials USA'!$A$7:$A$19,0),MATCH('Input Data'!B14,'Financials USA'!$E$1:$N$1,0))</f>
        <v>4810</v>
      </c>
      <c r="F14" s="30">
        <f>_xlfn.XLOOKUP(A14&amp;B14&amp;C14,'Gross Profit &amp; EBITDA'!D:D,'Gross Profit &amp; EBITDA'!E:E,"",0,1)*E14</f>
        <v>3848</v>
      </c>
      <c r="G14" s="30">
        <f>_xlfn.XLOOKUP(A14&amp;B14&amp;C14,'Gross Profit &amp; EBITDA'!D:D,'Gross Profit &amp; EBITDA'!F:F,"",0,1)*E14</f>
        <v>962</v>
      </c>
      <c r="J14" s="32">
        <v>2025</v>
      </c>
      <c r="K14">
        <v>397088</v>
      </c>
      <c r="L14">
        <v>70410</v>
      </c>
      <c r="O14" s="31" t="s">
        <v>16</v>
      </c>
      <c r="P14" t="s">
        <v>27</v>
      </c>
    </row>
    <row r="15" spans="1:16" x14ac:dyDescent="0.2">
      <c r="A15" s="29" t="s">
        <v>14</v>
      </c>
      <c r="B15" s="29">
        <v>2020</v>
      </c>
      <c r="C15" s="29" t="s">
        <v>5</v>
      </c>
      <c r="D15" s="29" t="s">
        <v>6</v>
      </c>
      <c r="E15">
        <f>INDEX('Financials USA'!$E$7:$N$19,MATCH('Input Data'!D15&amp;C15,'Financials USA'!$A$7:$A$19,0),MATCH('Input Data'!B15,'Financials USA'!$E$1:$N$1,0))</f>
        <v>16090</v>
      </c>
      <c r="F15" s="30">
        <f>_xlfn.XLOOKUP(A15&amp;B15&amp;C15,'Gross Profit &amp; EBITDA'!D:D,'Gross Profit &amp; EBITDA'!E:E,"",0,1)*E15</f>
        <v>12872</v>
      </c>
      <c r="G15" s="30">
        <f>_xlfn.XLOOKUP(A15&amp;B15&amp;C15,'Gross Profit &amp; EBITDA'!D:D,'Gross Profit &amp; EBITDA'!F:F,"",0,1)*E15</f>
        <v>3218</v>
      </c>
      <c r="J15" s="32">
        <v>2026</v>
      </c>
      <c r="K15">
        <v>384896</v>
      </c>
      <c r="L15">
        <v>73763.199999999997</v>
      </c>
      <c r="O15" s="31" t="s">
        <v>17</v>
      </c>
      <c r="P15" t="s">
        <v>27</v>
      </c>
    </row>
    <row r="16" spans="1:16" x14ac:dyDescent="0.2">
      <c r="A16" s="29" t="s">
        <v>14</v>
      </c>
      <c r="B16" s="29">
        <v>2020</v>
      </c>
      <c r="C16" s="29" t="s">
        <v>8</v>
      </c>
      <c r="D16" s="29" t="s">
        <v>4</v>
      </c>
      <c r="E16">
        <f>INDEX('Financials USA'!$E$7:$N$19,MATCH('Input Data'!D16&amp;C16,'Financials USA'!$A$7:$A$19,0),MATCH('Input Data'!B16,'Financials USA'!$E$1:$N$1,0))</f>
        <v>9620</v>
      </c>
      <c r="F16" s="30">
        <f>_xlfn.XLOOKUP(A16&amp;B16&amp;C16,'Gross Profit &amp; EBITDA'!D:D,'Gross Profit &amp; EBITDA'!E:E,"",0,1)*E16</f>
        <v>4810</v>
      </c>
      <c r="G16" s="30">
        <f>_xlfn.XLOOKUP(A16&amp;B16&amp;C16,'Gross Profit &amp; EBITDA'!D:D,'Gross Profit &amp; EBITDA'!F:F,"",0,1)*E16</f>
        <v>962</v>
      </c>
      <c r="J16" s="32">
        <v>2027</v>
      </c>
      <c r="K16">
        <v>447026</v>
      </c>
      <c r="L16">
        <v>81941.400000000023</v>
      </c>
    </row>
    <row r="17" spans="1:18" x14ac:dyDescent="0.2">
      <c r="A17" s="29" t="s">
        <v>14</v>
      </c>
      <c r="B17" s="29">
        <v>2020</v>
      </c>
      <c r="C17" s="29" t="s">
        <v>8</v>
      </c>
      <c r="D17" s="29" t="s">
        <v>6</v>
      </c>
      <c r="E17">
        <f>INDEX('Financials USA'!$E$7:$N$19,MATCH('Input Data'!D17&amp;C17,'Financials USA'!$A$7:$A$19,0),MATCH('Input Data'!B17,'Financials USA'!$E$1:$N$1,0))</f>
        <v>16090</v>
      </c>
      <c r="F17" s="30">
        <f>_xlfn.XLOOKUP(A17&amp;B17&amp;C17,'Gross Profit &amp; EBITDA'!D:D,'Gross Profit &amp; EBITDA'!E:E,"",0,1)*E17</f>
        <v>8045</v>
      </c>
      <c r="G17" s="30">
        <f>_xlfn.XLOOKUP(A17&amp;B17&amp;C17,'Gross Profit &amp; EBITDA'!D:D,'Gross Profit &amp; EBITDA'!F:F,"",0,1)*E17</f>
        <v>1609</v>
      </c>
      <c r="J17" s="32" t="s">
        <v>24</v>
      </c>
      <c r="K17">
        <v>3444804</v>
      </c>
      <c r="L17">
        <v>544175.80000000005</v>
      </c>
      <c r="O17" s="31" t="s">
        <v>32</v>
      </c>
    </row>
    <row r="18" spans="1:18" x14ac:dyDescent="0.2">
      <c r="A18" s="29" t="s">
        <v>14</v>
      </c>
      <c r="B18" s="29">
        <v>2020</v>
      </c>
      <c r="C18" s="29" t="s">
        <v>9</v>
      </c>
      <c r="D18" s="29" t="s">
        <v>4</v>
      </c>
      <c r="E18">
        <f>INDEX('Financials USA'!$E$7:$N$19,MATCH('Input Data'!D18&amp;C18,'Financials USA'!$A$7:$A$19,0),MATCH('Input Data'!B18,'Financials USA'!$E$1:$N$1,0))</f>
        <v>10140</v>
      </c>
      <c r="F18" s="30">
        <f>_xlfn.XLOOKUP(A18&amp;B18&amp;C18,'Gross Profit &amp; EBITDA'!D:D,'Gross Profit &amp; EBITDA'!E:E,"",0,1)*E18</f>
        <v>8112</v>
      </c>
      <c r="G18" s="30">
        <f>_xlfn.XLOOKUP(A18&amp;B18&amp;C18,'Gross Profit &amp; EBITDA'!D:D,'Gross Profit &amp; EBITDA'!F:F,"",0,1)*E18</f>
        <v>2028</v>
      </c>
      <c r="O18" s="32" t="s">
        <v>26</v>
      </c>
      <c r="P18">
        <v>544175.79999999981</v>
      </c>
    </row>
    <row r="19" spans="1:18" x14ac:dyDescent="0.2">
      <c r="A19" s="29" t="s">
        <v>14</v>
      </c>
      <c r="B19" s="29">
        <v>2020</v>
      </c>
      <c r="C19" s="29" t="s">
        <v>9</v>
      </c>
      <c r="D19" s="29" t="s">
        <v>6</v>
      </c>
      <c r="E19">
        <f>INDEX('Financials USA'!$E$7:$N$19,MATCH('Input Data'!D19&amp;C19,'Financials USA'!$A$7:$A$19,0),MATCH('Input Data'!B19,'Financials USA'!$E$1:$N$1,0))</f>
        <v>55827</v>
      </c>
      <c r="F19" s="30">
        <f>_xlfn.XLOOKUP(A19&amp;B19&amp;C19,'Gross Profit &amp; EBITDA'!D:D,'Gross Profit &amp; EBITDA'!E:E,"",0,1)*E19</f>
        <v>44661.600000000006</v>
      </c>
      <c r="G19" s="30">
        <f>_xlfn.XLOOKUP(A19&amp;B19&amp;C19,'Gross Profit &amp; EBITDA'!D:D,'Gross Profit &amp; EBITDA'!F:F,"",0,1)*E19</f>
        <v>11165.400000000001</v>
      </c>
      <c r="O19" s="32" t="s">
        <v>34</v>
      </c>
      <c r="P19" s="30">
        <v>2900628.2</v>
      </c>
    </row>
    <row r="20" spans="1:18" x14ac:dyDescent="0.2">
      <c r="A20" s="29" t="s">
        <v>14</v>
      </c>
      <c r="B20" s="29">
        <v>2021</v>
      </c>
      <c r="C20" s="29" t="s">
        <v>5</v>
      </c>
      <c r="D20" s="29" t="s">
        <v>4</v>
      </c>
      <c r="E20">
        <f>INDEX('Financials USA'!$E$7:$N$19,MATCH('Input Data'!D20&amp;C20,'Financials USA'!$A$7:$A$19,0),MATCH('Input Data'!B20,'Financials USA'!$E$1:$N$1,0))</f>
        <v>7470</v>
      </c>
      <c r="F20" s="30">
        <f>_xlfn.XLOOKUP(A20&amp;B20&amp;C20,'Gross Profit &amp; EBITDA'!D:D,'Gross Profit &amp; EBITDA'!E:E,"",0,1)*E20</f>
        <v>4482.0000000000009</v>
      </c>
      <c r="G20" s="30">
        <f>_xlfn.XLOOKUP(A20&amp;B20&amp;C20,'Gross Profit &amp; EBITDA'!D:D,'Gross Profit &amp; EBITDA'!F:F,"",0,1)*E20</f>
        <v>1494</v>
      </c>
    </row>
    <row r="21" spans="1:18" x14ac:dyDescent="0.2">
      <c r="A21" s="29" t="s">
        <v>14</v>
      </c>
      <c r="B21" s="29">
        <v>2021</v>
      </c>
      <c r="C21" s="29" t="s">
        <v>5</v>
      </c>
      <c r="D21" s="29" t="s">
        <v>6</v>
      </c>
      <c r="E21">
        <f>INDEX('Financials USA'!$E$7:$N$19,MATCH('Input Data'!D21&amp;C21,'Financials USA'!$A$7:$A$19,0),MATCH('Input Data'!B21,'Financials USA'!$E$1:$N$1,0))</f>
        <v>15225</v>
      </c>
      <c r="F21" s="30">
        <f>_xlfn.XLOOKUP(A21&amp;B21&amp;C21,'Gross Profit &amp; EBITDA'!D:D,'Gross Profit &amp; EBITDA'!E:E,"",0,1)*E21</f>
        <v>9135.0000000000018</v>
      </c>
      <c r="G21" s="30">
        <f>_xlfn.XLOOKUP(A21&amp;B21&amp;C21,'Gross Profit &amp; EBITDA'!D:D,'Gross Profit &amp; EBITDA'!F:F,"",0,1)*E21</f>
        <v>3045</v>
      </c>
      <c r="O21" t="s">
        <v>35</v>
      </c>
      <c r="P21" s="26">
        <f>GETPIVOTDATA("Sum of EBITDA",$O$17)/SUM(P18:P19)</f>
        <v>0.15797003254757014</v>
      </c>
      <c r="R21" s="26"/>
    </row>
    <row r="22" spans="1:18" x14ac:dyDescent="0.2">
      <c r="A22" s="29" t="s">
        <v>14</v>
      </c>
      <c r="B22" s="29">
        <v>2021</v>
      </c>
      <c r="C22" s="29" t="s">
        <v>8</v>
      </c>
      <c r="D22" s="29" t="s">
        <v>4</v>
      </c>
      <c r="E22">
        <f>INDEX('Financials USA'!$E$7:$N$19,MATCH('Input Data'!D22&amp;C22,'Financials USA'!$A$7:$A$19,0),MATCH('Input Data'!B22,'Financials USA'!$E$1:$N$1,0))</f>
        <v>29880</v>
      </c>
      <c r="F22" s="30">
        <f>_xlfn.XLOOKUP(A22&amp;B22&amp;C22,'Gross Profit &amp; EBITDA'!D:D,'Gross Profit &amp; EBITDA'!E:E,"",0,1)*E22</f>
        <v>20916.000000000004</v>
      </c>
      <c r="G22" s="30">
        <f>_xlfn.XLOOKUP(A22&amp;B22&amp;C22,'Gross Profit &amp; EBITDA'!D:D,'Gross Profit &amp; EBITDA'!F:F,"",0,1)*E22</f>
        <v>2988</v>
      </c>
      <c r="J22" s="31" t="s">
        <v>23</v>
      </c>
      <c r="K22" t="s">
        <v>28</v>
      </c>
    </row>
    <row r="23" spans="1:18" x14ac:dyDescent="0.2">
      <c r="A23" s="29" t="s">
        <v>14</v>
      </c>
      <c r="B23" s="29">
        <v>2021</v>
      </c>
      <c r="C23" s="29" t="s">
        <v>8</v>
      </c>
      <c r="D23" s="29" t="s">
        <v>6</v>
      </c>
      <c r="E23">
        <f>INDEX('Financials USA'!$E$7:$N$19,MATCH('Input Data'!D23&amp;C23,'Financials USA'!$A$7:$A$19,0),MATCH('Input Data'!B23,'Financials USA'!$E$1:$N$1,0))</f>
        <v>91350</v>
      </c>
      <c r="F23" s="30">
        <f>_xlfn.XLOOKUP(A23&amp;B23&amp;C23,'Gross Profit &amp; EBITDA'!D:D,'Gross Profit &amp; EBITDA'!E:E,"",0,1)*E23</f>
        <v>63945.000000000007</v>
      </c>
      <c r="G23" s="30">
        <f>_xlfn.XLOOKUP(A23&amp;B23&amp;C23,'Gross Profit &amp; EBITDA'!D:D,'Gross Profit &amp; EBITDA'!F:F,"",0,1)*E23</f>
        <v>9135</v>
      </c>
      <c r="J23" s="32" t="s">
        <v>14</v>
      </c>
      <c r="K23">
        <v>2977048</v>
      </c>
    </row>
    <row r="24" spans="1:18" x14ac:dyDescent="0.2">
      <c r="A24" s="29" t="s">
        <v>14</v>
      </c>
      <c r="B24" s="29">
        <v>2021</v>
      </c>
      <c r="C24" s="29" t="s">
        <v>9</v>
      </c>
      <c r="D24" s="29" t="s">
        <v>4</v>
      </c>
      <c r="E24">
        <f>INDEX('Financials USA'!$E$7:$N$19,MATCH('Input Data'!D24&amp;C24,'Financials USA'!$A$7:$A$19,0),MATCH('Input Data'!B24,'Financials USA'!$E$1:$N$1,0))</f>
        <v>3252</v>
      </c>
      <c r="F24" s="30">
        <f>_xlfn.XLOOKUP(A24&amp;B24&amp;C24,'Gross Profit &amp; EBITDA'!D:D,'Gross Profit &amp; EBITDA'!E:E,"",0,1)*E24</f>
        <v>2601.6000000000004</v>
      </c>
      <c r="G24" s="30">
        <f>_xlfn.XLOOKUP(A24&amp;B24&amp;C24,'Gross Profit &amp; EBITDA'!D:D,'Gross Profit &amp; EBITDA'!F:F,"",0,1)*E24</f>
        <v>650.40000000000009</v>
      </c>
      <c r="J24" s="32" t="s">
        <v>24</v>
      </c>
      <c r="K24">
        <v>2977048</v>
      </c>
    </row>
    <row r="25" spans="1:18" x14ac:dyDescent="0.2">
      <c r="A25" s="29" t="s">
        <v>14</v>
      </c>
      <c r="B25" s="29">
        <v>2021</v>
      </c>
      <c r="C25" s="29" t="s">
        <v>9</v>
      </c>
      <c r="D25" s="29" t="s">
        <v>6</v>
      </c>
      <c r="E25">
        <f>INDEX('Financials USA'!$E$7:$N$19,MATCH('Input Data'!D25&amp;C25,'Financials USA'!$A$7:$A$19,0),MATCH('Input Data'!B25,'Financials USA'!$E$1:$N$1,0))</f>
        <v>6756</v>
      </c>
      <c r="F25" s="30">
        <f>_xlfn.XLOOKUP(A25&amp;B25&amp;C25,'Gross Profit &amp; EBITDA'!D:D,'Gross Profit &amp; EBITDA'!E:E,"",0,1)*E25</f>
        <v>5404.8</v>
      </c>
      <c r="G25" s="30">
        <f>_xlfn.XLOOKUP(A25&amp;B25&amp;C25,'Gross Profit &amp; EBITDA'!D:D,'Gross Profit &amp; EBITDA'!F:F,"",0,1)*E25</f>
        <v>1351.2</v>
      </c>
    </row>
    <row r="26" spans="1:18" x14ac:dyDescent="0.2">
      <c r="A26" s="29" t="s">
        <v>14</v>
      </c>
      <c r="B26" s="29">
        <v>2022</v>
      </c>
      <c r="C26" s="29" t="s">
        <v>5</v>
      </c>
      <c r="D26" s="29" t="s">
        <v>4</v>
      </c>
      <c r="E26">
        <f>INDEX('Financials USA'!$E$7:$N$19,MATCH('Input Data'!D26&amp;C26,'Financials USA'!$A$7:$A$19,0),MATCH('Input Data'!B26,'Financials USA'!$E$1:$N$1,0))</f>
        <v>11367</v>
      </c>
      <c r="F26" s="30">
        <f>_xlfn.XLOOKUP(A26&amp;B26&amp;C26,'Gross Profit &amp; EBITDA'!D:D,'Gross Profit &amp; EBITDA'!E:E,"",0,1)*E26</f>
        <v>7956.9000000000005</v>
      </c>
      <c r="G26" s="30">
        <f>_xlfn.XLOOKUP(A26&amp;B26&amp;C26,'Gross Profit &amp; EBITDA'!D:D,'Gross Profit &amp; EBITDA'!F:F,"",0,1)*E26</f>
        <v>1136.7</v>
      </c>
    </row>
    <row r="27" spans="1:18" x14ac:dyDescent="0.2">
      <c r="A27" s="29" t="s">
        <v>14</v>
      </c>
      <c r="B27" s="29">
        <v>2022</v>
      </c>
      <c r="C27" s="29" t="s">
        <v>5</v>
      </c>
      <c r="D27" s="29" t="s">
        <v>6</v>
      </c>
      <c r="E27">
        <f>INDEX('Financials USA'!$E$7:$N$19,MATCH('Input Data'!D27&amp;C27,'Financials USA'!$A$7:$A$19,0),MATCH('Input Data'!B27,'Financials USA'!$E$1:$N$1,0))</f>
        <v>14484</v>
      </c>
      <c r="F27" s="30">
        <f>_xlfn.XLOOKUP(A27&amp;B27&amp;C27,'Gross Profit &amp; EBITDA'!D:D,'Gross Profit &amp; EBITDA'!E:E,"",0,1)*E27</f>
        <v>10138.800000000001</v>
      </c>
      <c r="G27" s="30">
        <f>_xlfn.XLOOKUP(A27&amp;B27&amp;C27,'Gross Profit &amp; EBITDA'!D:D,'Gross Profit &amp; EBITDA'!F:F,"",0,1)*E27</f>
        <v>1448.4</v>
      </c>
      <c r="J27" s="32" t="s">
        <v>11</v>
      </c>
      <c r="K27" t="s">
        <v>18</v>
      </c>
    </row>
    <row r="28" spans="1:18" x14ac:dyDescent="0.2">
      <c r="A28" s="29" t="s">
        <v>14</v>
      </c>
      <c r="B28" s="29">
        <v>2022</v>
      </c>
      <c r="C28" s="29" t="s">
        <v>8</v>
      </c>
      <c r="D28" s="29" t="s">
        <v>4</v>
      </c>
      <c r="E28">
        <f>INDEX('Financials USA'!$E$7:$N$19,MATCH('Input Data'!D28&amp;C28,'Financials USA'!$A$7:$A$19,0),MATCH('Input Data'!B28,'Financials USA'!$E$1:$N$1,0))</f>
        <v>22734</v>
      </c>
      <c r="F28" s="30">
        <f>_xlfn.XLOOKUP(A28&amp;B28&amp;C28,'Gross Profit &amp; EBITDA'!D:D,'Gross Profit &amp; EBITDA'!E:E,"",0,1)*E28</f>
        <v>11367</v>
      </c>
      <c r="G28" s="30">
        <f>_xlfn.XLOOKUP(A28&amp;B28&amp;C28,'Gross Profit &amp; EBITDA'!D:D,'Gross Profit &amp; EBITDA'!F:F,"",0,1)*E28</f>
        <v>2273.4</v>
      </c>
      <c r="J28" s="32" t="s">
        <v>15</v>
      </c>
      <c r="K28" s="34">
        <v>467756</v>
      </c>
    </row>
    <row r="29" spans="1:18" x14ac:dyDescent="0.2">
      <c r="A29" s="29" t="s">
        <v>14</v>
      </c>
      <c r="B29" s="29">
        <v>2022</v>
      </c>
      <c r="C29" s="29" t="s">
        <v>8</v>
      </c>
      <c r="D29" s="29" t="s">
        <v>6</v>
      </c>
      <c r="E29">
        <f>INDEX('Financials USA'!$E$7:$N$19,MATCH('Input Data'!D29&amp;C29,'Financials USA'!$A$7:$A$19,0),MATCH('Input Data'!B29,'Financials USA'!$E$1:$N$1,0))</f>
        <v>86904</v>
      </c>
      <c r="F29" s="30">
        <f>_xlfn.XLOOKUP(A29&amp;B29&amp;C29,'Gross Profit &amp; EBITDA'!D:D,'Gross Profit &amp; EBITDA'!E:E,"",0,1)*E29</f>
        <v>43452</v>
      </c>
      <c r="G29" s="30">
        <f>_xlfn.XLOOKUP(A29&amp;B29&amp;C29,'Gross Profit &amp; EBITDA'!D:D,'Gross Profit &amp; EBITDA'!F:F,"",0,1)*E29</f>
        <v>8690.4</v>
      </c>
      <c r="J29" s="32" t="s">
        <v>14</v>
      </c>
      <c r="K29" s="34">
        <v>2977048</v>
      </c>
    </row>
    <row r="30" spans="1:18" x14ac:dyDescent="0.2">
      <c r="A30" s="29" t="s">
        <v>14</v>
      </c>
      <c r="B30" s="29">
        <v>2022</v>
      </c>
      <c r="C30" s="29" t="s">
        <v>9</v>
      </c>
      <c r="D30" s="29" t="s">
        <v>4</v>
      </c>
      <c r="E30">
        <f>INDEX('Financials USA'!$E$7:$N$19,MATCH('Input Data'!D30&amp;C30,'Financials USA'!$A$7:$A$19,0),MATCH('Input Data'!B30,'Financials USA'!$E$1:$N$1,0))</f>
        <v>3515</v>
      </c>
      <c r="F30" s="30">
        <f>_xlfn.XLOOKUP(A30&amp;B30&amp;C30,'Gross Profit &amp; EBITDA'!D:D,'Gross Profit &amp; EBITDA'!E:E,"",0,1)*E30</f>
        <v>2812</v>
      </c>
      <c r="G30" s="30">
        <f>_xlfn.XLOOKUP(A30&amp;B30&amp;C30,'Gross Profit &amp; EBITDA'!D:D,'Gross Profit &amp; EBITDA'!F:F,"",0,1)*E30</f>
        <v>351.5</v>
      </c>
    </row>
    <row r="31" spans="1:18" x14ac:dyDescent="0.2">
      <c r="A31" s="29" t="s">
        <v>14</v>
      </c>
      <c r="B31" s="29">
        <v>2022</v>
      </c>
      <c r="C31" s="29" t="s">
        <v>9</v>
      </c>
      <c r="D31" s="29" t="s">
        <v>6</v>
      </c>
      <c r="E31">
        <f>INDEX('Financials USA'!$E$7:$N$19,MATCH('Input Data'!D31&amp;C31,'Financials USA'!$A$7:$A$19,0),MATCH('Input Data'!B31,'Financials USA'!$E$1:$N$1,0))</f>
        <v>18760</v>
      </c>
      <c r="F31" s="30">
        <f>_xlfn.XLOOKUP(A31&amp;B31&amp;C31,'Gross Profit &amp; EBITDA'!D:D,'Gross Profit &amp; EBITDA'!E:E,"",0,1)*E31</f>
        <v>15008</v>
      </c>
      <c r="G31" s="30">
        <f>_xlfn.XLOOKUP(A31&amp;B31&amp;C31,'Gross Profit &amp; EBITDA'!D:D,'Gross Profit &amp; EBITDA'!F:F,"",0,1)*E31</f>
        <v>1876</v>
      </c>
    </row>
    <row r="32" spans="1:18" x14ac:dyDescent="0.2">
      <c r="A32" s="29" t="s">
        <v>14</v>
      </c>
      <c r="B32" s="29">
        <v>2023</v>
      </c>
      <c r="C32" s="29" t="s">
        <v>5</v>
      </c>
      <c r="D32" s="29" t="s">
        <v>4</v>
      </c>
      <c r="E32">
        <f>INDEX('Financials USA'!$E$7:$N$19,MATCH('Input Data'!D32&amp;C32,'Financials USA'!$A$7:$A$19,0),MATCH('Input Data'!B32,'Financials USA'!$E$1:$N$1,0))</f>
        <v>6894</v>
      </c>
      <c r="F32" s="30">
        <f>_xlfn.XLOOKUP(A32&amp;B32&amp;C32,'Gross Profit &amp; EBITDA'!D:D,'Gross Profit &amp; EBITDA'!E:E,"",0,1)*E32</f>
        <v>4825.8</v>
      </c>
      <c r="G32" s="30">
        <f>_xlfn.XLOOKUP(A32&amp;B32&amp;C32,'Gross Profit &amp; EBITDA'!D:D,'Gross Profit &amp; EBITDA'!F:F,"",0,1)*E32</f>
        <v>1378.8000000000002</v>
      </c>
    </row>
    <row r="33" spans="1:13" x14ac:dyDescent="0.2">
      <c r="A33" s="29" t="s">
        <v>14</v>
      </c>
      <c r="B33" s="29">
        <v>2023</v>
      </c>
      <c r="C33" s="29" t="s">
        <v>5</v>
      </c>
      <c r="D33" s="29" t="s">
        <v>6</v>
      </c>
      <c r="E33">
        <f>INDEX('Financials USA'!$E$7:$N$19,MATCH('Input Data'!D33&amp;C33,'Financials USA'!$A$7:$A$19,0),MATCH('Input Data'!B33,'Financials USA'!$E$1:$N$1,0))</f>
        <v>18660</v>
      </c>
      <c r="F33" s="30">
        <f>_xlfn.XLOOKUP(A33&amp;B33&amp;C33,'Gross Profit &amp; EBITDA'!D:D,'Gross Profit &amp; EBITDA'!E:E,"",0,1)*E33</f>
        <v>13062.000000000002</v>
      </c>
      <c r="G33" s="30">
        <f>_xlfn.XLOOKUP(A33&amp;B33&amp;C33,'Gross Profit &amp; EBITDA'!D:D,'Gross Profit &amp; EBITDA'!F:F,"",0,1)*E33</f>
        <v>3732</v>
      </c>
      <c r="J33" s="31" t="s">
        <v>11</v>
      </c>
      <c r="K33" t="s">
        <v>27</v>
      </c>
    </row>
    <row r="34" spans="1:13" x14ac:dyDescent="0.2">
      <c r="A34" s="29" t="s">
        <v>14</v>
      </c>
      <c r="B34" s="29">
        <v>2023</v>
      </c>
      <c r="C34" s="29" t="s">
        <v>8</v>
      </c>
      <c r="D34" s="29" t="s">
        <v>4</v>
      </c>
      <c r="E34">
        <f>INDEX('Financials USA'!$E$7:$N$19,MATCH('Input Data'!D34&amp;C34,'Financials USA'!$A$7:$A$19,0),MATCH('Input Data'!B34,'Financials USA'!$E$1:$N$1,0))</f>
        <v>13788</v>
      </c>
      <c r="F34" s="30">
        <f>_xlfn.XLOOKUP(A34&amp;B34&amp;C34,'Gross Profit &amp; EBITDA'!D:D,'Gross Profit &amp; EBITDA'!E:E,"",0,1)*E34</f>
        <v>9651.6</v>
      </c>
      <c r="G34" s="30">
        <f>_xlfn.XLOOKUP(A34&amp;B34&amp;C34,'Gross Profit &amp; EBITDA'!D:D,'Gross Profit &amp; EBITDA'!F:F,"",0,1)*E34</f>
        <v>2757.6000000000004</v>
      </c>
      <c r="J34" s="31" t="s">
        <v>0</v>
      </c>
      <c r="K34" t="s">
        <v>27</v>
      </c>
    </row>
    <row r="35" spans="1:13" x14ac:dyDescent="0.2">
      <c r="A35" s="29" t="s">
        <v>14</v>
      </c>
      <c r="B35" s="29">
        <v>2023</v>
      </c>
      <c r="C35" s="29" t="s">
        <v>8</v>
      </c>
      <c r="D35" s="29" t="s">
        <v>6</v>
      </c>
      <c r="E35">
        <f>INDEX('Financials USA'!$E$7:$N$19,MATCH('Input Data'!D35&amp;C35,'Financials USA'!$A$7:$A$19,0),MATCH('Input Data'!B35,'Financials USA'!$E$1:$N$1,0))</f>
        <v>111960</v>
      </c>
      <c r="F35" s="30">
        <f>_xlfn.XLOOKUP(A35&amp;B35&amp;C35,'Gross Profit &amp; EBITDA'!D:D,'Gross Profit &amp; EBITDA'!E:E,"",0,1)*E35</f>
        <v>78372.000000000015</v>
      </c>
      <c r="G35" s="30">
        <f>_xlfn.XLOOKUP(A35&amp;B35&amp;C35,'Gross Profit &amp; EBITDA'!D:D,'Gross Profit &amp; EBITDA'!F:F,"",0,1)*E35</f>
        <v>22392</v>
      </c>
      <c r="J35" s="31" t="s">
        <v>17</v>
      </c>
      <c r="K35" t="s">
        <v>27</v>
      </c>
    </row>
    <row r="36" spans="1:13" x14ac:dyDescent="0.2">
      <c r="A36" s="29" t="s">
        <v>14</v>
      </c>
      <c r="B36" s="29">
        <v>2023</v>
      </c>
      <c r="C36" s="29" t="s">
        <v>9</v>
      </c>
      <c r="D36" s="29" t="s">
        <v>4</v>
      </c>
      <c r="E36">
        <f>INDEX('Financials USA'!$E$7:$N$19,MATCH('Input Data'!D36&amp;C36,'Financials USA'!$A$7:$A$19,0),MATCH('Input Data'!B36,'Financials USA'!$E$1:$N$1,0))</f>
        <v>5064</v>
      </c>
      <c r="F36" s="30">
        <f>_xlfn.XLOOKUP(A36&amp;B36&amp;C36,'Gross Profit &amp; EBITDA'!D:D,'Gross Profit &amp; EBITDA'!E:E,"",0,1)*E36</f>
        <v>4051.2000000000003</v>
      </c>
      <c r="G36" s="30">
        <f>_xlfn.XLOOKUP(A36&amp;B36&amp;C36,'Gross Profit &amp; EBITDA'!D:D,'Gross Profit &amp; EBITDA'!F:F,"",0,1)*E36</f>
        <v>506.40000000000003</v>
      </c>
    </row>
    <row r="37" spans="1:13" x14ac:dyDescent="0.2">
      <c r="A37" s="29" t="s">
        <v>14</v>
      </c>
      <c r="B37" s="29">
        <v>2023</v>
      </c>
      <c r="C37" s="29" t="s">
        <v>9</v>
      </c>
      <c r="D37" s="29" t="s">
        <v>6</v>
      </c>
      <c r="E37">
        <f>INDEX('Financials USA'!$E$7:$N$19,MATCH('Input Data'!D37&amp;C37,'Financials USA'!$A$7:$A$19,0),MATCH('Input Data'!B37,'Financials USA'!$E$1:$N$1,0))</f>
        <v>15933</v>
      </c>
      <c r="F37" s="30">
        <f>_xlfn.XLOOKUP(A37&amp;B37&amp;C37,'Gross Profit &amp; EBITDA'!D:D,'Gross Profit &amp; EBITDA'!E:E,"",0,1)*E37</f>
        <v>12746.400000000001</v>
      </c>
      <c r="G37" s="30">
        <f>_xlfn.XLOOKUP(A37&amp;B37&amp;C37,'Gross Profit &amp; EBITDA'!D:D,'Gross Profit &amp; EBITDA'!F:F,"",0,1)*E37</f>
        <v>1593.3000000000002</v>
      </c>
      <c r="J37" s="31" t="s">
        <v>23</v>
      </c>
      <c r="K37" t="s">
        <v>38</v>
      </c>
      <c r="L37" t="s">
        <v>39</v>
      </c>
      <c r="M37" t="s">
        <v>40</v>
      </c>
    </row>
    <row r="38" spans="1:13" x14ac:dyDescent="0.2">
      <c r="A38" s="29" t="s">
        <v>14</v>
      </c>
      <c r="B38" s="29">
        <v>2024</v>
      </c>
      <c r="C38" s="29" t="s">
        <v>5</v>
      </c>
      <c r="D38" s="29" t="s">
        <v>4</v>
      </c>
      <c r="E38">
        <f>INDEX('Financials USA'!$E$7:$N$19,MATCH('Input Data'!D38&amp;C38,'Financials USA'!$A$7:$A$19,0),MATCH('Input Data'!B38,'Financials USA'!$E$1:$N$1,0))</f>
        <v>8880</v>
      </c>
      <c r="F38" s="30">
        <f>_xlfn.XLOOKUP(A38&amp;B38&amp;C38,'Gross Profit &amp; EBITDA'!D:D,'Gross Profit &amp; EBITDA'!E:E,"",0,1)*E38</f>
        <v>4440</v>
      </c>
      <c r="G38" s="30">
        <f>_xlfn.XLOOKUP(A38&amp;B38&amp;C38,'Gross Profit &amp; EBITDA'!D:D,'Gross Profit &amp; EBITDA'!F:F,"",0,1)*E38</f>
        <v>1776</v>
      </c>
      <c r="J38" s="32" t="s">
        <v>9</v>
      </c>
      <c r="K38">
        <v>766694</v>
      </c>
      <c r="L38">
        <v>497113.79999999987</v>
      </c>
      <c r="M38">
        <v>131267.00000000003</v>
      </c>
    </row>
    <row r="39" spans="1:13" x14ac:dyDescent="0.2">
      <c r="A39" s="29" t="s">
        <v>14</v>
      </c>
      <c r="B39" s="29">
        <v>2024</v>
      </c>
      <c r="C39" s="29" t="s">
        <v>5</v>
      </c>
      <c r="D39" s="29" t="s">
        <v>6</v>
      </c>
      <c r="E39">
        <f>INDEX('Financials USA'!$E$7:$N$19,MATCH('Input Data'!D39&amp;C39,'Financials USA'!$A$7:$A$19,0),MATCH('Input Data'!B39,'Financials USA'!$E$1:$N$1,0))</f>
        <v>13958</v>
      </c>
      <c r="F39" s="30">
        <f>_xlfn.XLOOKUP(A39&amp;B39&amp;C39,'Gross Profit &amp; EBITDA'!D:D,'Gross Profit &amp; EBITDA'!E:E,"",0,1)*E39</f>
        <v>6979</v>
      </c>
      <c r="G39" s="30">
        <f>_xlfn.XLOOKUP(A39&amp;B39&amp;C39,'Gross Profit &amp; EBITDA'!D:D,'Gross Profit &amp; EBITDA'!F:F,"",0,1)*E39</f>
        <v>2791.6000000000004</v>
      </c>
      <c r="J39" s="32" t="s">
        <v>5</v>
      </c>
      <c r="K39">
        <v>701974</v>
      </c>
      <c r="L39">
        <v>416294.99999999988</v>
      </c>
      <c r="M39">
        <v>114326.60000000003</v>
      </c>
    </row>
    <row r="40" spans="1:13" x14ac:dyDescent="0.2">
      <c r="A40" s="29" t="s">
        <v>14</v>
      </c>
      <c r="B40" s="29">
        <v>2024</v>
      </c>
      <c r="C40" s="29" t="s">
        <v>8</v>
      </c>
      <c r="D40" s="29" t="s">
        <v>4</v>
      </c>
      <c r="E40">
        <f>INDEX('Financials USA'!$E$7:$N$19,MATCH('Input Data'!D40&amp;C40,'Financials USA'!$A$7:$A$19,0),MATCH('Input Data'!B40,'Financials USA'!$E$1:$N$1,0))</f>
        <v>53280</v>
      </c>
      <c r="F40" s="30">
        <f>_xlfn.XLOOKUP(A40&amp;B40&amp;C40,'Gross Profit &amp; EBITDA'!D:D,'Gross Profit &amp; EBITDA'!E:E,"",0,1)*E40</f>
        <v>26640</v>
      </c>
      <c r="G40" s="30">
        <f>_xlfn.XLOOKUP(A40&amp;B40&amp;C40,'Gross Profit &amp; EBITDA'!D:D,'Gross Profit &amp; EBITDA'!F:F,"",0,1)*E40</f>
        <v>5328</v>
      </c>
      <c r="J40" s="32" t="s">
        <v>8</v>
      </c>
      <c r="K40">
        <v>1976136</v>
      </c>
      <c r="L40">
        <v>1161788.3999999994</v>
      </c>
      <c r="M40">
        <v>298582.20000000013</v>
      </c>
    </row>
    <row r="41" spans="1:13" x14ac:dyDescent="0.2">
      <c r="A41" s="29" t="s">
        <v>14</v>
      </c>
      <c r="B41" s="29">
        <v>2024</v>
      </c>
      <c r="C41" s="29" t="s">
        <v>8</v>
      </c>
      <c r="D41" s="29" t="s">
        <v>6</v>
      </c>
      <c r="E41">
        <f>INDEX('Financials USA'!$E$7:$N$19,MATCH('Input Data'!D41&amp;C41,'Financials USA'!$A$7:$A$19,0),MATCH('Input Data'!B41,'Financials USA'!$E$1:$N$1,0))</f>
        <v>41874</v>
      </c>
      <c r="F41" s="30">
        <f>_xlfn.XLOOKUP(A41&amp;B41&amp;C41,'Gross Profit &amp; EBITDA'!D:D,'Gross Profit &amp; EBITDA'!E:E,"",0,1)*E41</f>
        <v>20937</v>
      </c>
      <c r="G41" s="30">
        <f>_xlfn.XLOOKUP(A41&amp;B41&amp;C41,'Gross Profit &amp; EBITDA'!D:D,'Gross Profit &amp; EBITDA'!F:F,"",0,1)*E41</f>
        <v>4187.4000000000005</v>
      </c>
      <c r="J41" s="32" t="s">
        <v>24</v>
      </c>
      <c r="K41">
        <v>3444804</v>
      </c>
      <c r="L41">
        <v>2075197.1999999993</v>
      </c>
      <c r="M41">
        <v>544175.80000000016</v>
      </c>
    </row>
    <row r="42" spans="1:13" x14ac:dyDescent="0.2">
      <c r="A42" s="29" t="s">
        <v>14</v>
      </c>
      <c r="B42" s="29">
        <v>2024</v>
      </c>
      <c r="C42" s="29" t="s">
        <v>9</v>
      </c>
      <c r="D42" s="29" t="s">
        <v>4</v>
      </c>
      <c r="E42">
        <f>INDEX('Financials USA'!$E$7:$N$19,MATCH('Input Data'!D42&amp;C42,'Financials USA'!$A$7:$A$19,0),MATCH('Input Data'!B42,'Financials USA'!$E$1:$N$1,0))</f>
        <v>9666</v>
      </c>
      <c r="F42" s="30">
        <f>_xlfn.XLOOKUP(A42&amp;B42&amp;C42,'Gross Profit &amp; EBITDA'!D:D,'Gross Profit &amp; EBITDA'!E:E,"",0,1)*E42</f>
        <v>6766.2000000000007</v>
      </c>
      <c r="G42" s="30">
        <f>_xlfn.XLOOKUP(A42&amp;B42&amp;C42,'Gross Profit &amp; EBITDA'!D:D,'Gross Profit &amp; EBITDA'!F:F,"",0,1)*E42</f>
        <v>966.6</v>
      </c>
    </row>
    <row r="43" spans="1:13" x14ac:dyDescent="0.2">
      <c r="A43" s="29" t="s">
        <v>14</v>
      </c>
      <c r="B43" s="29">
        <v>2024</v>
      </c>
      <c r="C43" s="29" t="s">
        <v>9</v>
      </c>
      <c r="D43" s="29" t="s">
        <v>6</v>
      </c>
      <c r="E43">
        <f>INDEX('Financials USA'!$E$7:$N$19,MATCH('Input Data'!D43&amp;C43,'Financials USA'!$A$7:$A$19,0),MATCH('Input Data'!B43,'Financials USA'!$E$1:$N$1,0))</f>
        <v>6528</v>
      </c>
      <c r="F43" s="30">
        <f>_xlfn.XLOOKUP(A43&amp;B43&amp;C43,'Gross Profit &amp; EBITDA'!D:D,'Gross Profit &amp; EBITDA'!E:E,"",0,1)*E43</f>
        <v>4569.6000000000004</v>
      </c>
      <c r="G43" s="30">
        <f>_xlfn.XLOOKUP(A43&amp;B43&amp;C43,'Gross Profit &amp; EBITDA'!D:D,'Gross Profit &amp; EBITDA'!F:F,"",0,1)*E43</f>
        <v>652.80000000000007</v>
      </c>
    </row>
    <row r="44" spans="1:13" x14ac:dyDescent="0.2">
      <c r="A44" s="29" t="s">
        <v>14</v>
      </c>
      <c r="B44" s="29">
        <v>2025</v>
      </c>
      <c r="C44" s="29" t="s">
        <v>5</v>
      </c>
      <c r="D44" s="29" t="s">
        <v>4</v>
      </c>
      <c r="E44">
        <f>INDEX('Financials USA'!$E$7:$N$19,MATCH('Input Data'!D44&amp;C44,'Financials USA'!$A$7:$A$19,0),MATCH('Input Data'!B44,'Financials USA'!$E$1:$N$1,0))</f>
        <v>4901</v>
      </c>
      <c r="F44" s="30">
        <f>_xlfn.XLOOKUP(A44&amp;B44&amp;C44,'Gross Profit &amp; EBITDA'!D:D,'Gross Profit &amp; EBITDA'!E:E,"",0,1)*E44</f>
        <v>2940.6000000000004</v>
      </c>
      <c r="G44" s="30">
        <f>_xlfn.XLOOKUP(A44&amp;B44&amp;C44,'Gross Profit &amp; EBITDA'!D:D,'Gross Profit &amp; EBITDA'!F:F,"",0,1)*E44</f>
        <v>490.1</v>
      </c>
    </row>
    <row r="45" spans="1:13" x14ac:dyDescent="0.2">
      <c r="A45" s="29" t="s">
        <v>14</v>
      </c>
      <c r="B45" s="29">
        <v>2025</v>
      </c>
      <c r="C45" s="29" t="s">
        <v>5</v>
      </c>
      <c r="D45" s="29" t="s">
        <v>6</v>
      </c>
      <c r="E45">
        <f>INDEX('Financials USA'!$E$7:$N$19,MATCH('Input Data'!D45&amp;C45,'Financials USA'!$A$7:$A$19,0),MATCH('Input Data'!B45,'Financials USA'!$E$1:$N$1,0))</f>
        <v>26427</v>
      </c>
      <c r="F45" s="30">
        <f>_xlfn.XLOOKUP(A45&amp;B45&amp;C45,'Gross Profit &amp; EBITDA'!D:D,'Gross Profit &amp; EBITDA'!E:E,"",0,1)*E45</f>
        <v>15856.200000000003</v>
      </c>
      <c r="G45" s="30">
        <f>_xlfn.XLOOKUP(A45&amp;B45&amp;C45,'Gross Profit &amp; EBITDA'!D:D,'Gross Profit &amp; EBITDA'!F:F,"",0,1)*E45</f>
        <v>2642.7000000000003</v>
      </c>
    </row>
    <row r="46" spans="1:13" x14ac:dyDescent="0.2">
      <c r="A46" s="29" t="s">
        <v>14</v>
      </c>
      <c r="B46" s="29">
        <v>2025</v>
      </c>
      <c r="C46" s="29" t="s">
        <v>8</v>
      </c>
      <c r="D46" s="29" t="s">
        <v>4</v>
      </c>
      <c r="E46">
        <f>INDEX('Financials USA'!$E$7:$N$19,MATCH('Input Data'!D46&amp;C46,'Financials USA'!$A$7:$A$19,0),MATCH('Input Data'!B46,'Financials USA'!$E$1:$N$1,0))</f>
        <v>14703</v>
      </c>
      <c r="F46" s="30">
        <f>_xlfn.XLOOKUP(A46&amp;B46&amp;C46,'Gross Profit &amp; EBITDA'!D:D,'Gross Profit &amp; EBITDA'!E:E,"",0,1)*E46</f>
        <v>10292.1</v>
      </c>
      <c r="G46" s="30">
        <f>_xlfn.XLOOKUP(A46&amp;B46&amp;C46,'Gross Profit &amp; EBITDA'!D:D,'Gross Profit &amp; EBITDA'!F:F,"",0,1)*E46</f>
        <v>2940.6000000000004</v>
      </c>
    </row>
    <row r="47" spans="1:13" x14ac:dyDescent="0.2">
      <c r="A47" s="29" t="s">
        <v>14</v>
      </c>
      <c r="B47" s="29">
        <v>2025</v>
      </c>
      <c r="C47" s="29" t="s">
        <v>8</v>
      </c>
      <c r="D47" s="29" t="s">
        <v>6</v>
      </c>
      <c r="E47">
        <f>INDEX('Financials USA'!$E$7:$N$19,MATCH('Input Data'!D47&amp;C47,'Financials USA'!$A$7:$A$19,0),MATCH('Input Data'!B47,'Financials USA'!$E$1:$N$1,0))</f>
        <v>52854</v>
      </c>
      <c r="F47" s="30">
        <f>_xlfn.XLOOKUP(A47&amp;B47&amp;C47,'Gross Profit &amp; EBITDA'!D:D,'Gross Profit &amp; EBITDA'!E:E,"",0,1)*E47</f>
        <v>36997.800000000003</v>
      </c>
      <c r="G47" s="30">
        <f>_xlfn.XLOOKUP(A47&amp;B47&amp;C47,'Gross Profit &amp; EBITDA'!D:D,'Gross Profit &amp; EBITDA'!F:F,"",0,1)*E47</f>
        <v>10570.800000000001</v>
      </c>
      <c r="J47" t="s">
        <v>28</v>
      </c>
      <c r="K47" t="s">
        <v>25</v>
      </c>
      <c r="L47" t="s">
        <v>26</v>
      </c>
    </row>
    <row r="48" spans="1:13" x14ac:dyDescent="0.2">
      <c r="A48" s="29" t="s">
        <v>14</v>
      </c>
      <c r="B48" s="29">
        <v>2025</v>
      </c>
      <c r="C48" s="29" t="s">
        <v>9</v>
      </c>
      <c r="D48" s="29" t="s">
        <v>4</v>
      </c>
      <c r="E48">
        <f>INDEX('Financials USA'!$E$7:$N$19,MATCH('Input Data'!D48&amp;C48,'Financials USA'!$A$7:$A$19,0),MATCH('Input Data'!B48,'Financials USA'!$E$1:$N$1,0))</f>
        <v>1365</v>
      </c>
      <c r="F48" s="30">
        <f>_xlfn.XLOOKUP(A48&amp;B48&amp;C48,'Gross Profit &amp; EBITDA'!D:D,'Gross Profit &amp; EBITDA'!E:E,"",0,1)*E48</f>
        <v>682.5</v>
      </c>
      <c r="G48" s="30">
        <f>_xlfn.XLOOKUP(A48&amp;B48&amp;C48,'Gross Profit &amp; EBITDA'!D:D,'Gross Profit &amp; EBITDA'!F:F,"",0,1)*E48</f>
        <v>273</v>
      </c>
      <c r="J48">
        <v>3444804</v>
      </c>
      <c r="K48">
        <v>2075197.2000000009</v>
      </c>
      <c r="L48">
        <v>544175.79999999981</v>
      </c>
    </row>
    <row r="49" spans="1:11" x14ac:dyDescent="0.2">
      <c r="A49" s="29" t="s">
        <v>14</v>
      </c>
      <c r="B49" s="29">
        <v>2025</v>
      </c>
      <c r="C49" s="29" t="s">
        <v>9</v>
      </c>
      <c r="D49" s="29" t="s">
        <v>6</v>
      </c>
      <c r="E49">
        <f>INDEX('Financials USA'!$E$7:$N$19,MATCH('Input Data'!D49&amp;C49,'Financials USA'!$A$7:$A$19,0),MATCH('Input Data'!B49,'Financials USA'!$E$1:$N$1,0))</f>
        <v>68814</v>
      </c>
      <c r="F49" s="30">
        <f>_xlfn.XLOOKUP(A49&amp;B49&amp;C49,'Gross Profit &amp; EBITDA'!D:D,'Gross Profit &amp; EBITDA'!E:E,"",0,1)*E49</f>
        <v>34407</v>
      </c>
      <c r="G49" s="30">
        <f>_xlfn.XLOOKUP(A49&amp;B49&amp;C49,'Gross Profit &amp; EBITDA'!D:D,'Gross Profit &amp; EBITDA'!F:F,"",0,1)*E49</f>
        <v>13762.800000000001</v>
      </c>
    </row>
    <row r="50" spans="1:11" x14ac:dyDescent="0.2">
      <c r="A50" s="29" t="s">
        <v>14</v>
      </c>
      <c r="B50" s="29">
        <v>2026</v>
      </c>
      <c r="C50" s="29" t="s">
        <v>5</v>
      </c>
      <c r="D50" s="29" t="s">
        <v>4</v>
      </c>
      <c r="E50">
        <f>INDEX('Financials USA'!$E$7:$N$19,MATCH('Input Data'!D50&amp;C50,'Financials USA'!$A$7:$A$19,0),MATCH('Input Data'!B50,'Financials USA'!$E$1:$N$1,0))</f>
        <v>3828</v>
      </c>
      <c r="F50" s="30">
        <f>_xlfn.XLOOKUP(A50&amp;B50&amp;C50,'Gross Profit &amp; EBITDA'!D:D,'Gross Profit &amp; EBITDA'!E:E,"",0,1)*E50</f>
        <v>1914</v>
      </c>
      <c r="G50" s="30">
        <f>_xlfn.XLOOKUP(A50&amp;B50&amp;C50,'Gross Profit &amp; EBITDA'!D:D,'Gross Profit &amp; EBITDA'!F:F,"",0,1)*E50</f>
        <v>765.6</v>
      </c>
    </row>
    <row r="51" spans="1:11" x14ac:dyDescent="0.2">
      <c r="A51" s="29" t="s">
        <v>14</v>
      </c>
      <c r="B51" s="29">
        <v>2026</v>
      </c>
      <c r="C51" s="29" t="s">
        <v>5</v>
      </c>
      <c r="D51" s="29" t="s">
        <v>6</v>
      </c>
      <c r="E51">
        <f>INDEX('Financials USA'!$E$7:$N$19,MATCH('Input Data'!D51&amp;C51,'Financials USA'!$A$7:$A$19,0),MATCH('Input Data'!B51,'Financials USA'!$E$1:$N$1,0))</f>
        <v>24219</v>
      </c>
      <c r="F51" s="30">
        <f>_xlfn.XLOOKUP(A51&amp;B51&amp;C51,'Gross Profit &amp; EBITDA'!D:D,'Gross Profit &amp; EBITDA'!E:E,"",0,1)*E51</f>
        <v>12109.5</v>
      </c>
      <c r="G51" s="30">
        <f>_xlfn.XLOOKUP(A51&amp;B51&amp;C51,'Gross Profit &amp; EBITDA'!D:D,'Gross Profit &amp; EBITDA'!F:F,"",0,1)*E51</f>
        <v>4843.8</v>
      </c>
      <c r="J51" t="s">
        <v>18</v>
      </c>
      <c r="K51">
        <f>GETPIVOTDATA("Sum of Revenue",$J$47)</f>
        <v>3444804</v>
      </c>
    </row>
    <row r="52" spans="1:11" x14ac:dyDescent="0.2">
      <c r="A52" s="29" t="s">
        <v>14</v>
      </c>
      <c r="B52" s="29">
        <v>2026</v>
      </c>
      <c r="C52" s="29" t="s">
        <v>8</v>
      </c>
      <c r="D52" s="29" t="s">
        <v>4</v>
      </c>
      <c r="E52">
        <f>INDEX('Financials USA'!$E$7:$N$19,MATCH('Input Data'!D52&amp;C52,'Financials USA'!$A$7:$A$19,0),MATCH('Input Data'!B52,'Financials USA'!$E$1:$N$1,0))</f>
        <v>3828</v>
      </c>
      <c r="F52" s="30">
        <f>_xlfn.XLOOKUP(A52&amp;B52&amp;C52,'Gross Profit &amp; EBITDA'!D:D,'Gross Profit &amp; EBITDA'!E:E,"",0,1)*E52</f>
        <v>2296.8000000000002</v>
      </c>
      <c r="G52" s="30">
        <f>_xlfn.XLOOKUP(A52&amp;B52&amp;C52,'Gross Profit &amp; EBITDA'!D:D,'Gross Profit &amp; EBITDA'!F:F,"",0,1)*E52</f>
        <v>765.6</v>
      </c>
      <c r="J52" t="s">
        <v>29</v>
      </c>
      <c r="K52">
        <f>K53-K51</f>
        <v>-1369606.7999999991</v>
      </c>
    </row>
    <row r="53" spans="1:11" x14ac:dyDescent="0.2">
      <c r="A53" s="29" t="s">
        <v>14</v>
      </c>
      <c r="B53" s="29">
        <v>2026</v>
      </c>
      <c r="C53" s="29" t="s">
        <v>8</v>
      </c>
      <c r="D53" s="29" t="s">
        <v>6</v>
      </c>
      <c r="E53">
        <f>INDEX('Financials USA'!$E$7:$N$19,MATCH('Input Data'!D53&amp;C53,'Financials USA'!$A$7:$A$19,0),MATCH('Input Data'!B53,'Financials USA'!$E$1:$N$1,0))</f>
        <v>96876</v>
      </c>
      <c r="F53" s="30">
        <f>_xlfn.XLOOKUP(A53&amp;B53&amp;C53,'Gross Profit &amp; EBITDA'!D:D,'Gross Profit &amp; EBITDA'!E:E,"",0,1)*E53</f>
        <v>58125.600000000006</v>
      </c>
      <c r="G53" s="30">
        <f>_xlfn.XLOOKUP(A53&amp;B53&amp;C53,'Gross Profit &amp; EBITDA'!D:D,'Gross Profit &amp; EBITDA'!F:F,"",0,1)*E53</f>
        <v>19375.2</v>
      </c>
      <c r="J53" t="s">
        <v>19</v>
      </c>
      <c r="K53">
        <f>GETPIVOTDATA("Sum of Gross Profit",$J$47)</f>
        <v>2075197.2000000009</v>
      </c>
    </row>
    <row r="54" spans="1:11" x14ac:dyDescent="0.2">
      <c r="A54" s="29" t="s">
        <v>14</v>
      </c>
      <c r="B54" s="29">
        <v>2026</v>
      </c>
      <c r="C54" s="29" t="s">
        <v>9</v>
      </c>
      <c r="D54" s="29" t="s">
        <v>4</v>
      </c>
      <c r="E54">
        <f>INDEX('Financials USA'!$E$7:$N$19,MATCH('Input Data'!D54&amp;C54,'Financials USA'!$A$7:$A$19,0),MATCH('Input Data'!B54,'Financials USA'!$E$1:$N$1,0))</f>
        <v>3022</v>
      </c>
      <c r="F54" s="30">
        <f>_xlfn.XLOOKUP(A54&amp;B54&amp;C54,'Gross Profit &amp; EBITDA'!D:D,'Gross Profit &amp; EBITDA'!E:E,"",0,1)*E54</f>
        <v>1511</v>
      </c>
      <c r="G54" s="30">
        <f>_xlfn.XLOOKUP(A54&amp;B54&amp;C54,'Gross Profit &amp; EBITDA'!D:D,'Gross Profit &amp; EBITDA'!F:F,"",0,1)*E54</f>
        <v>604.4</v>
      </c>
      <c r="J54" t="s">
        <v>30</v>
      </c>
      <c r="K54">
        <f>K55-K53</f>
        <v>-1531021.4000000011</v>
      </c>
    </row>
    <row r="55" spans="1:11" x14ac:dyDescent="0.2">
      <c r="A55" s="29" t="s">
        <v>14</v>
      </c>
      <c r="B55" s="29">
        <v>2026</v>
      </c>
      <c r="C55" s="29" t="s">
        <v>9</v>
      </c>
      <c r="D55" s="29" t="s">
        <v>6</v>
      </c>
      <c r="E55">
        <f>INDEX('Financials USA'!$E$7:$N$19,MATCH('Input Data'!D55&amp;C55,'Financials USA'!$A$7:$A$19,0),MATCH('Input Data'!B55,'Financials USA'!$E$1:$N$1,0))</f>
        <v>32694</v>
      </c>
      <c r="F55" s="30">
        <f>_xlfn.XLOOKUP(A55&amp;B55&amp;C55,'Gross Profit &amp; EBITDA'!D:D,'Gross Profit &amp; EBITDA'!E:E,"",0,1)*E55</f>
        <v>16347</v>
      </c>
      <c r="G55" s="30">
        <f>_xlfn.XLOOKUP(A55&amp;B55&amp;C55,'Gross Profit &amp; EBITDA'!D:D,'Gross Profit &amp; EBITDA'!F:F,"",0,1)*E55</f>
        <v>6538.8</v>
      </c>
      <c r="J55" t="s">
        <v>31</v>
      </c>
      <c r="K55">
        <f>GETPIVOTDATA("Sum of EBITDA",$J$47)</f>
        <v>544175.79999999981</v>
      </c>
    </row>
    <row r="56" spans="1:11" x14ac:dyDescent="0.2">
      <c r="A56" s="29" t="s">
        <v>14</v>
      </c>
      <c r="B56" s="29">
        <v>2027</v>
      </c>
      <c r="C56" s="29" t="s">
        <v>5</v>
      </c>
      <c r="D56" s="29" t="s">
        <v>4</v>
      </c>
      <c r="E56">
        <f>INDEX('Financials USA'!$E$7:$N$19,MATCH('Input Data'!D56&amp;C56,'Financials USA'!$A$7:$A$19,0),MATCH('Input Data'!B56,'Financials USA'!$E$1:$N$1,0))</f>
        <v>5424</v>
      </c>
      <c r="F56" s="30">
        <f>_xlfn.XLOOKUP(A56&amp;B56&amp;C56,'Gross Profit &amp; EBITDA'!D:D,'Gross Profit &amp; EBITDA'!E:E,"",0,1)*E56</f>
        <v>2712</v>
      </c>
      <c r="G56" s="30">
        <f>_xlfn.XLOOKUP(A56&amp;B56&amp;C56,'Gross Profit &amp; EBITDA'!D:D,'Gross Profit &amp; EBITDA'!F:F,"",0,1)*E56</f>
        <v>542.4</v>
      </c>
    </row>
    <row r="57" spans="1:11" x14ac:dyDescent="0.2">
      <c r="A57" s="29" t="s">
        <v>14</v>
      </c>
      <c r="B57" s="29">
        <v>2027</v>
      </c>
      <c r="C57" s="29" t="s">
        <v>5</v>
      </c>
      <c r="D57" s="29" t="s">
        <v>6</v>
      </c>
      <c r="E57">
        <f>INDEX('Financials USA'!$E$7:$N$19,MATCH('Input Data'!D57&amp;C57,'Financials USA'!$A$7:$A$19,0),MATCH('Input Data'!B57,'Financials USA'!$E$1:$N$1,0))</f>
        <v>23442</v>
      </c>
      <c r="F57" s="30">
        <f>_xlfn.XLOOKUP(A57&amp;B57&amp;C57,'Gross Profit &amp; EBITDA'!D:D,'Gross Profit &amp; EBITDA'!E:E,"",0,1)*E57</f>
        <v>11721</v>
      </c>
      <c r="G57" s="30">
        <f>_xlfn.XLOOKUP(A57&amp;B57&amp;C57,'Gross Profit &amp; EBITDA'!D:D,'Gross Profit &amp; EBITDA'!F:F,"",0,1)*E57</f>
        <v>2344.2000000000003</v>
      </c>
    </row>
    <row r="58" spans="1:11" x14ac:dyDescent="0.2">
      <c r="A58" s="29" t="s">
        <v>14</v>
      </c>
      <c r="B58" s="29">
        <v>2027</v>
      </c>
      <c r="C58" s="29" t="s">
        <v>8</v>
      </c>
      <c r="D58" s="29" t="s">
        <v>4</v>
      </c>
      <c r="E58">
        <f>INDEX('Financials USA'!$E$7:$N$19,MATCH('Input Data'!D58&amp;C58,'Financials USA'!$A$7:$A$19,0),MATCH('Input Data'!B58,'Financials USA'!$E$1:$N$1,0))</f>
        <v>5424</v>
      </c>
      <c r="F58" s="30">
        <f>_xlfn.XLOOKUP(A58&amp;B58&amp;C58,'Gross Profit &amp; EBITDA'!D:D,'Gross Profit &amp; EBITDA'!E:E,"",0,1)*E58</f>
        <v>2712</v>
      </c>
      <c r="G58" s="30">
        <f>_xlfn.XLOOKUP(A58&amp;B58&amp;C58,'Gross Profit &amp; EBITDA'!D:D,'Gross Profit &amp; EBITDA'!F:F,"",0,1)*E58</f>
        <v>1084.8</v>
      </c>
    </row>
    <row r="59" spans="1:11" x14ac:dyDescent="0.2">
      <c r="A59" s="29" t="s">
        <v>14</v>
      </c>
      <c r="B59" s="29">
        <v>2027</v>
      </c>
      <c r="C59" s="29" t="s">
        <v>8</v>
      </c>
      <c r="D59" s="29" t="s">
        <v>6</v>
      </c>
      <c r="E59">
        <f>INDEX('Financials USA'!$E$7:$N$19,MATCH('Input Data'!D59&amp;C59,'Financials USA'!$A$7:$A$19,0),MATCH('Input Data'!B59,'Financials USA'!$E$1:$N$1,0))</f>
        <v>140652</v>
      </c>
      <c r="F59" s="30">
        <f>_xlfn.XLOOKUP(A59&amp;B59&amp;C59,'Gross Profit &amp; EBITDA'!D:D,'Gross Profit &amp; EBITDA'!E:E,"",0,1)*E59</f>
        <v>70326</v>
      </c>
      <c r="G59" s="30">
        <f>_xlfn.XLOOKUP(A59&amp;B59&amp;C59,'Gross Profit &amp; EBITDA'!D:D,'Gross Profit &amp; EBITDA'!F:F,"",0,1)*E59</f>
        <v>28130.400000000001</v>
      </c>
    </row>
    <row r="60" spans="1:11" x14ac:dyDescent="0.2">
      <c r="A60" s="29" t="s">
        <v>14</v>
      </c>
      <c r="B60" s="29">
        <v>2027</v>
      </c>
      <c r="C60" s="29" t="s">
        <v>9</v>
      </c>
      <c r="D60" s="29" t="s">
        <v>4</v>
      </c>
      <c r="E60">
        <f>INDEX('Financials USA'!$E$7:$N$19,MATCH('Input Data'!D60&amp;C60,'Financials USA'!$A$7:$A$19,0),MATCH('Input Data'!B60,'Financials USA'!$E$1:$N$1,0))</f>
        <v>15468</v>
      </c>
      <c r="F60" s="30">
        <f>_xlfn.XLOOKUP(A60&amp;B60&amp;C60,'Gross Profit &amp; EBITDA'!D:D,'Gross Profit &amp; EBITDA'!E:E,"",0,1)*E60</f>
        <v>9280.8000000000011</v>
      </c>
      <c r="G60" s="30">
        <f>_xlfn.XLOOKUP(A60&amp;B60&amp;C60,'Gross Profit &amp; EBITDA'!D:D,'Gross Profit &amp; EBITDA'!F:F,"",0,1)*E60</f>
        <v>3093.6000000000004</v>
      </c>
    </row>
    <row r="61" spans="1:11" x14ac:dyDescent="0.2">
      <c r="A61" s="29" t="s">
        <v>14</v>
      </c>
      <c r="B61" s="29">
        <v>2027</v>
      </c>
      <c r="C61" s="29" t="s">
        <v>9</v>
      </c>
      <c r="D61" s="29" t="s">
        <v>6</v>
      </c>
      <c r="E61">
        <f>INDEX('Financials USA'!$E$7:$N$19,MATCH('Input Data'!D61&amp;C61,'Financials USA'!$A$7:$A$19,0),MATCH('Input Data'!B61,'Financials USA'!$E$1:$N$1,0))</f>
        <v>9172</v>
      </c>
      <c r="F61" s="30">
        <f>_xlfn.XLOOKUP(A61&amp;B61&amp;C61,'Gross Profit &amp; EBITDA'!D:D,'Gross Profit &amp; EBITDA'!E:E,"",0,1)*E61</f>
        <v>5503.2000000000007</v>
      </c>
      <c r="G61" s="30">
        <f>_xlfn.XLOOKUP(A61&amp;B61&amp;C61,'Gross Profit &amp; EBITDA'!D:D,'Gross Profit &amp; EBITDA'!F:F,"",0,1)*E61</f>
        <v>1834.4</v>
      </c>
    </row>
    <row r="62" spans="1:11" x14ac:dyDescent="0.2">
      <c r="A62" s="29" t="s">
        <v>14</v>
      </c>
      <c r="B62" s="29">
        <v>2018</v>
      </c>
      <c r="C62" s="29" t="s">
        <v>5</v>
      </c>
      <c r="D62" s="29" t="s">
        <v>4</v>
      </c>
      <c r="E62">
        <f>INDEX('Financials USA'!$E$7:$N$19,MATCH('Input Data'!D62&amp;C62,'Financials USA'!$A$7:$A$19,0),MATCH('Input Data'!B62,'Financials USA'!$E$1:$N$1,0))</f>
        <v>1869</v>
      </c>
      <c r="F62" s="30">
        <f>_xlfn.XLOOKUP(A62&amp;B62&amp;C62,'Gross Profit &amp; EBITDA'!D:D,'Gross Profit &amp; EBITDA'!E:E,"",0,1)*E62</f>
        <v>934.5</v>
      </c>
      <c r="G62" s="30">
        <f>_xlfn.XLOOKUP(A62&amp;B62&amp;C62,'Gross Profit &amp; EBITDA'!D:D,'Gross Profit &amp; EBITDA'!F:F,"",0,1)*E62</f>
        <v>373.8</v>
      </c>
    </row>
    <row r="63" spans="1:11" x14ac:dyDescent="0.2">
      <c r="A63" s="29" t="s">
        <v>14</v>
      </c>
      <c r="B63" s="29">
        <v>2018</v>
      </c>
      <c r="C63" s="29" t="s">
        <v>5</v>
      </c>
      <c r="D63" s="29" t="s">
        <v>6</v>
      </c>
      <c r="E63">
        <f>INDEX('Financials USA'!$E$7:$N$19,MATCH('Input Data'!D63&amp;C63,'Financials USA'!$A$7:$A$19,0),MATCH('Input Data'!B63,'Financials USA'!$E$1:$N$1,0))</f>
        <v>23961</v>
      </c>
      <c r="F63" s="30">
        <f>_xlfn.XLOOKUP(A63&amp;B63&amp;C63,'Gross Profit &amp; EBITDA'!D:D,'Gross Profit &amp; EBITDA'!E:E,"",0,1)*E63</f>
        <v>11980.5</v>
      </c>
      <c r="G63" s="30">
        <f>_xlfn.XLOOKUP(A63&amp;B63&amp;C63,'Gross Profit &amp; EBITDA'!D:D,'Gross Profit &amp; EBITDA'!F:F,"",0,1)*E63</f>
        <v>4792.2</v>
      </c>
    </row>
    <row r="64" spans="1:11" x14ac:dyDescent="0.2">
      <c r="A64" s="29" t="s">
        <v>14</v>
      </c>
      <c r="B64" s="29">
        <v>2018</v>
      </c>
      <c r="C64" s="29" t="s">
        <v>8</v>
      </c>
      <c r="D64" s="29" t="s">
        <v>4</v>
      </c>
      <c r="E64">
        <f>INDEX('Financials USA'!$E$7:$N$19,MATCH('Input Data'!D64&amp;C64,'Financials USA'!$A$7:$A$19,0),MATCH('Input Data'!B64,'Financials USA'!$E$1:$N$1,0))</f>
        <v>5607</v>
      </c>
      <c r="F64" s="30">
        <f>_xlfn.XLOOKUP(A64&amp;B64&amp;C64,'Gross Profit &amp; EBITDA'!D:D,'Gross Profit &amp; EBITDA'!E:E,"",0,1)*E64</f>
        <v>3924.9000000000005</v>
      </c>
      <c r="G64" s="30">
        <f>_xlfn.XLOOKUP(A64&amp;B64&amp;C64,'Gross Profit &amp; EBITDA'!D:D,'Gross Profit &amp; EBITDA'!F:F,"",0,1)*E64</f>
        <v>1121.4000000000001</v>
      </c>
    </row>
    <row r="65" spans="1:7" x14ac:dyDescent="0.2">
      <c r="A65" s="29" t="s">
        <v>14</v>
      </c>
      <c r="B65" s="29">
        <v>2018</v>
      </c>
      <c r="C65" s="29" t="s">
        <v>8</v>
      </c>
      <c r="D65" s="29" t="s">
        <v>6</v>
      </c>
      <c r="E65">
        <f>INDEX('Financials USA'!$E$7:$N$19,MATCH('Input Data'!D65&amp;C65,'Financials USA'!$A$7:$A$19,0),MATCH('Input Data'!B65,'Financials USA'!$E$1:$N$1,0))</f>
        <v>23961</v>
      </c>
      <c r="F65" s="30">
        <f>_xlfn.XLOOKUP(A65&amp;B65&amp;C65,'Gross Profit &amp; EBITDA'!D:D,'Gross Profit &amp; EBITDA'!E:E,"",0,1)*E65</f>
        <v>16772.7</v>
      </c>
      <c r="G65" s="30">
        <f>_xlfn.XLOOKUP(A65&amp;B65&amp;C65,'Gross Profit &amp; EBITDA'!D:D,'Gross Profit &amp; EBITDA'!F:F,"",0,1)*E65</f>
        <v>4792.2</v>
      </c>
    </row>
    <row r="66" spans="1:7" x14ac:dyDescent="0.2">
      <c r="A66" s="29" t="s">
        <v>14</v>
      </c>
      <c r="B66" s="29">
        <v>2018</v>
      </c>
      <c r="C66" s="29" t="s">
        <v>9</v>
      </c>
      <c r="D66" s="29" t="s">
        <v>4</v>
      </c>
      <c r="E66">
        <f>INDEX('Financials USA'!$E$7:$N$19,MATCH('Input Data'!D66&amp;C66,'Financials USA'!$A$7:$A$19,0),MATCH('Input Data'!B66,'Financials USA'!$E$1:$N$1,0))</f>
        <v>684</v>
      </c>
      <c r="F66" s="30">
        <f>_xlfn.XLOOKUP(A66&amp;B66&amp;C66,'Gross Profit &amp; EBITDA'!D:D,'Gross Profit &amp; EBITDA'!E:E,"",0,1)*E66</f>
        <v>478.80000000000007</v>
      </c>
      <c r="G66" s="30">
        <f>_xlfn.XLOOKUP(A66&amp;B66&amp;C66,'Gross Profit &amp; EBITDA'!D:D,'Gross Profit &amp; EBITDA'!F:F,"",0,1)*E66</f>
        <v>68.400000000000006</v>
      </c>
    </row>
    <row r="67" spans="1:7" x14ac:dyDescent="0.2">
      <c r="A67" s="29" t="s">
        <v>14</v>
      </c>
      <c r="B67" s="29">
        <v>2018</v>
      </c>
      <c r="C67" s="29" t="s">
        <v>9</v>
      </c>
      <c r="D67" s="29" t="s">
        <v>6</v>
      </c>
      <c r="E67">
        <f>INDEX('Financials USA'!$E$7:$N$19,MATCH('Input Data'!D67&amp;C67,'Financials USA'!$A$7:$A$19,0),MATCH('Input Data'!B67,'Financials USA'!$E$1:$N$1,0))</f>
        <v>9098</v>
      </c>
      <c r="F67" s="30">
        <f>_xlfn.XLOOKUP(A67&amp;B67&amp;C67,'Gross Profit &amp; EBITDA'!D:D,'Gross Profit &amp; EBITDA'!E:E,"",0,1)*E67</f>
        <v>6368.6</v>
      </c>
      <c r="G67" s="30">
        <f>_xlfn.XLOOKUP(A67&amp;B67&amp;C67,'Gross Profit &amp; EBITDA'!D:D,'Gross Profit &amp; EBITDA'!F:F,"",0,1)*E67</f>
        <v>909.80000000000007</v>
      </c>
    </row>
    <row r="68" spans="1:7" x14ac:dyDescent="0.2">
      <c r="A68" s="29" t="s">
        <v>14</v>
      </c>
      <c r="B68" s="29">
        <v>2019</v>
      </c>
      <c r="C68" s="29" t="s">
        <v>5</v>
      </c>
      <c r="D68" s="29" t="s">
        <v>4</v>
      </c>
      <c r="E68">
        <f>INDEX('Financials USA'!$E$7:$N$19,MATCH('Input Data'!D68&amp;C68,'Financials USA'!$A$7:$A$19,0),MATCH('Input Data'!B68,'Financials USA'!$E$1:$N$1,0))</f>
        <v>3211</v>
      </c>
      <c r="F68" s="30">
        <f>_xlfn.XLOOKUP(A68&amp;B68&amp;C68,'Gross Profit &amp; EBITDA'!D:D,'Gross Profit &amp; EBITDA'!E:E,"",0,1)*E68</f>
        <v>1605.5</v>
      </c>
      <c r="G68" s="30">
        <f>_xlfn.XLOOKUP(A68&amp;B68&amp;C68,'Gross Profit &amp; EBITDA'!D:D,'Gross Profit &amp; EBITDA'!F:F,"",0,1)*E68</f>
        <v>321.10000000000002</v>
      </c>
    </row>
    <row r="69" spans="1:7" x14ac:dyDescent="0.2">
      <c r="A69" s="29" t="s">
        <v>14</v>
      </c>
      <c r="B69" s="29">
        <v>2019</v>
      </c>
      <c r="C69" s="29" t="s">
        <v>5</v>
      </c>
      <c r="D69" s="29" t="s">
        <v>6</v>
      </c>
      <c r="E69">
        <f>INDEX('Financials USA'!$E$7:$N$19,MATCH('Input Data'!D69&amp;C69,'Financials USA'!$A$7:$A$19,0),MATCH('Input Data'!B69,'Financials USA'!$E$1:$N$1,0))</f>
        <v>15956</v>
      </c>
      <c r="F69" s="30">
        <f>_xlfn.XLOOKUP(A69&amp;B69&amp;C69,'Gross Profit &amp; EBITDA'!D:D,'Gross Profit &amp; EBITDA'!E:E,"",0,1)*E69</f>
        <v>7978</v>
      </c>
      <c r="G69" s="30">
        <f>_xlfn.XLOOKUP(A69&amp;B69&amp;C69,'Gross Profit &amp; EBITDA'!D:D,'Gross Profit &amp; EBITDA'!F:F,"",0,1)*E69</f>
        <v>1595.6000000000001</v>
      </c>
    </row>
    <row r="70" spans="1:7" x14ac:dyDescent="0.2">
      <c r="A70" s="29" t="s">
        <v>14</v>
      </c>
      <c r="B70" s="29">
        <v>2019</v>
      </c>
      <c r="C70" s="29" t="s">
        <v>8</v>
      </c>
      <c r="D70" s="29" t="s">
        <v>4</v>
      </c>
      <c r="E70">
        <f>INDEX('Financials USA'!$E$7:$N$19,MATCH('Input Data'!D70&amp;C70,'Financials USA'!$A$7:$A$19,0),MATCH('Input Data'!B70,'Financials USA'!$E$1:$N$1,0))</f>
        <v>12844</v>
      </c>
      <c r="F70" s="30">
        <f>_xlfn.XLOOKUP(A70&amp;B70&amp;C70,'Gross Profit &amp; EBITDA'!D:D,'Gross Profit &amp; EBITDA'!E:E,"",0,1)*E70</f>
        <v>6422</v>
      </c>
      <c r="G70" s="30">
        <f>_xlfn.XLOOKUP(A70&amp;B70&amp;C70,'Gross Profit &amp; EBITDA'!D:D,'Gross Profit &amp; EBITDA'!F:F,"",0,1)*E70</f>
        <v>1284.4000000000001</v>
      </c>
    </row>
    <row r="71" spans="1:7" x14ac:dyDescent="0.2">
      <c r="A71" s="29" t="s">
        <v>14</v>
      </c>
      <c r="B71" s="29">
        <v>2019</v>
      </c>
      <c r="C71" s="29" t="s">
        <v>8</v>
      </c>
      <c r="D71" s="29" t="s">
        <v>6</v>
      </c>
      <c r="E71">
        <f>INDEX('Financials USA'!$E$7:$N$19,MATCH('Input Data'!D71&amp;C71,'Financials USA'!$A$7:$A$19,0),MATCH('Input Data'!B71,'Financials USA'!$E$1:$N$1,0))</f>
        <v>95736</v>
      </c>
      <c r="F71" s="30">
        <f>_xlfn.XLOOKUP(A71&amp;B71&amp;C71,'Gross Profit &amp; EBITDA'!D:D,'Gross Profit &amp; EBITDA'!E:E,"",0,1)*E71</f>
        <v>47868</v>
      </c>
      <c r="G71" s="30">
        <f>_xlfn.XLOOKUP(A71&amp;B71&amp;C71,'Gross Profit &amp; EBITDA'!D:D,'Gross Profit &amp; EBITDA'!F:F,"",0,1)*E71</f>
        <v>9573.6</v>
      </c>
    </row>
    <row r="72" spans="1:7" x14ac:dyDescent="0.2">
      <c r="A72" s="29" t="s">
        <v>14</v>
      </c>
      <c r="B72" s="29">
        <v>2019</v>
      </c>
      <c r="C72" s="29" t="s">
        <v>9</v>
      </c>
      <c r="D72" s="29" t="s">
        <v>4</v>
      </c>
      <c r="E72">
        <f>INDEX('Financials USA'!$E$7:$N$19,MATCH('Input Data'!D72&amp;C72,'Financials USA'!$A$7:$A$19,0),MATCH('Input Data'!B72,'Financials USA'!$E$1:$N$1,0))</f>
        <v>17682</v>
      </c>
      <c r="F72" s="30">
        <f>_xlfn.XLOOKUP(A72&amp;B72&amp;C72,'Gross Profit &amp; EBITDA'!D:D,'Gross Profit &amp; EBITDA'!E:E,"",0,1)*E72</f>
        <v>10609.2</v>
      </c>
      <c r="G72" s="30">
        <f>_xlfn.XLOOKUP(A72&amp;B72&amp;C72,'Gross Profit &amp; EBITDA'!D:D,'Gross Profit &amp; EBITDA'!F:F,"",0,1)*E72</f>
        <v>3536.4</v>
      </c>
    </row>
    <row r="73" spans="1:7" x14ac:dyDescent="0.2">
      <c r="A73" s="29" t="s">
        <v>14</v>
      </c>
      <c r="B73" s="29">
        <v>2019</v>
      </c>
      <c r="C73" s="29" t="s">
        <v>9</v>
      </c>
      <c r="D73" s="29" t="s">
        <v>6</v>
      </c>
      <c r="E73">
        <f>INDEX('Financials USA'!$E$7:$N$19,MATCH('Input Data'!D73&amp;C73,'Financials USA'!$A$7:$A$19,0),MATCH('Input Data'!B73,'Financials USA'!$E$1:$N$1,0))</f>
        <v>19683</v>
      </c>
      <c r="F73" s="30">
        <f>_xlfn.XLOOKUP(A73&amp;B73&amp;C73,'Gross Profit &amp; EBITDA'!D:D,'Gross Profit &amp; EBITDA'!E:E,"",0,1)*E73</f>
        <v>11809.800000000001</v>
      </c>
      <c r="G73" s="30">
        <f>_xlfn.XLOOKUP(A73&amp;B73&amp;C73,'Gross Profit &amp; EBITDA'!D:D,'Gross Profit &amp; EBITDA'!F:F,"",0,1)*E73</f>
        <v>3936.6000000000004</v>
      </c>
    </row>
    <row r="74" spans="1:7" x14ac:dyDescent="0.2">
      <c r="A74" s="29" t="s">
        <v>14</v>
      </c>
      <c r="B74" s="29">
        <v>2020</v>
      </c>
      <c r="C74" s="29" t="s">
        <v>5</v>
      </c>
      <c r="D74" s="29" t="s">
        <v>4</v>
      </c>
      <c r="E74">
        <f>INDEX('Financials USA'!$E$7:$N$19,MATCH('Input Data'!D74&amp;C74,'Financials USA'!$A$7:$A$19,0),MATCH('Input Data'!B74,'Financials USA'!$E$1:$N$1,0))</f>
        <v>4810</v>
      </c>
      <c r="F74" s="30">
        <f>_xlfn.XLOOKUP(A74&amp;B74&amp;C74,'Gross Profit &amp; EBITDA'!D:D,'Gross Profit &amp; EBITDA'!E:E,"",0,1)*E74</f>
        <v>3848</v>
      </c>
      <c r="G74" s="30">
        <f>_xlfn.XLOOKUP(A74&amp;B74&amp;C74,'Gross Profit &amp; EBITDA'!D:D,'Gross Profit &amp; EBITDA'!F:F,"",0,1)*E74</f>
        <v>962</v>
      </c>
    </row>
    <row r="75" spans="1:7" x14ac:dyDescent="0.2">
      <c r="A75" s="29" t="s">
        <v>14</v>
      </c>
      <c r="B75" s="29">
        <v>2020</v>
      </c>
      <c r="C75" s="29" t="s">
        <v>5</v>
      </c>
      <c r="D75" s="29" t="s">
        <v>4</v>
      </c>
      <c r="E75">
        <f>INDEX('Financials USA'!$E$7:$N$19,MATCH('Input Data'!D75&amp;C75,'Financials USA'!$A$7:$A$19,0),MATCH('Input Data'!B75,'Financials USA'!$E$1:$N$1,0))</f>
        <v>4810</v>
      </c>
      <c r="F75" s="30">
        <f>_xlfn.XLOOKUP(A75&amp;B75&amp;C75,'Gross Profit &amp; EBITDA'!D:D,'Gross Profit &amp; EBITDA'!E:E,"",0,1)*E75</f>
        <v>3848</v>
      </c>
      <c r="G75" s="30">
        <f>_xlfn.XLOOKUP(A75&amp;B75&amp;C75,'Gross Profit &amp; EBITDA'!D:D,'Gross Profit &amp; EBITDA'!F:F,"",0,1)*E75</f>
        <v>962</v>
      </c>
    </row>
    <row r="76" spans="1:7" x14ac:dyDescent="0.2">
      <c r="A76" s="29" t="s">
        <v>14</v>
      </c>
      <c r="B76" s="29">
        <v>2020</v>
      </c>
      <c r="C76" s="29" t="s">
        <v>8</v>
      </c>
      <c r="D76" s="29" t="s">
        <v>6</v>
      </c>
      <c r="E76">
        <f>INDEX('Financials USA'!$E$7:$N$19,MATCH('Input Data'!D76&amp;C76,'Financials USA'!$A$7:$A$19,0),MATCH('Input Data'!B76,'Financials USA'!$E$1:$N$1,0))</f>
        <v>16090</v>
      </c>
      <c r="F76" s="30">
        <f>_xlfn.XLOOKUP(A76&amp;B76&amp;C76,'Gross Profit &amp; EBITDA'!D:D,'Gross Profit &amp; EBITDA'!E:E,"",0,1)*E76</f>
        <v>8045</v>
      </c>
      <c r="G76" s="30">
        <f>_xlfn.XLOOKUP(A76&amp;B76&amp;C76,'Gross Profit &amp; EBITDA'!D:D,'Gross Profit &amp; EBITDA'!F:F,"",0,1)*E76</f>
        <v>1609</v>
      </c>
    </row>
    <row r="77" spans="1:7" x14ac:dyDescent="0.2">
      <c r="A77" s="29" t="s">
        <v>14</v>
      </c>
      <c r="B77" s="29">
        <v>2020</v>
      </c>
      <c r="C77" s="29" t="s">
        <v>8</v>
      </c>
      <c r="D77" s="29" t="s">
        <v>4</v>
      </c>
      <c r="E77">
        <f>INDEX('Financials USA'!$E$7:$N$19,MATCH('Input Data'!D77&amp;C77,'Financials USA'!$A$7:$A$19,0),MATCH('Input Data'!B77,'Financials USA'!$E$1:$N$1,0))</f>
        <v>9620</v>
      </c>
      <c r="F77" s="30">
        <f>_xlfn.XLOOKUP(A77&amp;B77&amp;C77,'Gross Profit &amp; EBITDA'!D:D,'Gross Profit &amp; EBITDA'!E:E,"",0,1)*E77</f>
        <v>4810</v>
      </c>
      <c r="G77" s="30">
        <f>_xlfn.XLOOKUP(A77&amp;B77&amp;C77,'Gross Profit &amp; EBITDA'!D:D,'Gross Profit &amp; EBITDA'!F:F,"",0,1)*E77</f>
        <v>962</v>
      </c>
    </row>
    <row r="78" spans="1:7" x14ac:dyDescent="0.2">
      <c r="A78" s="29" t="s">
        <v>14</v>
      </c>
      <c r="B78" s="29">
        <v>2020</v>
      </c>
      <c r="C78" s="29" t="s">
        <v>9</v>
      </c>
      <c r="D78" s="29" t="s">
        <v>6</v>
      </c>
      <c r="E78">
        <f>INDEX('Financials USA'!$E$7:$N$19,MATCH('Input Data'!D78&amp;C78,'Financials USA'!$A$7:$A$19,0),MATCH('Input Data'!B78,'Financials USA'!$E$1:$N$1,0))</f>
        <v>55827</v>
      </c>
      <c r="F78" s="30">
        <f>_xlfn.XLOOKUP(A78&amp;B78&amp;C78,'Gross Profit &amp; EBITDA'!D:D,'Gross Profit &amp; EBITDA'!E:E,"",0,1)*E78</f>
        <v>44661.600000000006</v>
      </c>
      <c r="G78" s="30">
        <f>_xlfn.XLOOKUP(A78&amp;B78&amp;C78,'Gross Profit &amp; EBITDA'!D:D,'Gross Profit &amp; EBITDA'!F:F,"",0,1)*E78</f>
        <v>11165.400000000001</v>
      </c>
    </row>
    <row r="79" spans="1:7" x14ac:dyDescent="0.2">
      <c r="A79" s="29" t="s">
        <v>14</v>
      </c>
      <c r="B79" s="29">
        <v>2020</v>
      </c>
      <c r="C79" s="29" t="s">
        <v>9</v>
      </c>
      <c r="D79" s="29" t="s">
        <v>4</v>
      </c>
      <c r="E79">
        <f>INDEX('Financials USA'!$E$7:$N$19,MATCH('Input Data'!D79&amp;C79,'Financials USA'!$A$7:$A$19,0),MATCH('Input Data'!B79,'Financials USA'!$E$1:$N$1,0))</f>
        <v>10140</v>
      </c>
      <c r="F79" s="30">
        <f>_xlfn.XLOOKUP(A79&amp;B79&amp;C79,'Gross Profit &amp; EBITDA'!D:D,'Gross Profit &amp; EBITDA'!E:E,"",0,1)*E79</f>
        <v>8112</v>
      </c>
      <c r="G79" s="30">
        <f>_xlfn.XLOOKUP(A79&amp;B79&amp;C79,'Gross Profit &amp; EBITDA'!D:D,'Gross Profit &amp; EBITDA'!F:F,"",0,1)*E79</f>
        <v>2028</v>
      </c>
    </row>
    <row r="80" spans="1:7" x14ac:dyDescent="0.2">
      <c r="A80" s="29" t="s">
        <v>14</v>
      </c>
      <c r="B80" s="29">
        <v>2021</v>
      </c>
      <c r="C80" s="29" t="s">
        <v>5</v>
      </c>
      <c r="D80" s="29" t="s">
        <v>6</v>
      </c>
      <c r="E80">
        <f>INDEX('Financials USA'!$E$7:$N$19,MATCH('Input Data'!D80&amp;C80,'Financials USA'!$A$7:$A$19,0),MATCH('Input Data'!B80,'Financials USA'!$E$1:$N$1,0))</f>
        <v>15225</v>
      </c>
      <c r="F80" s="30">
        <f>_xlfn.XLOOKUP(A80&amp;B80&amp;C80,'Gross Profit &amp; EBITDA'!D:D,'Gross Profit &amp; EBITDA'!E:E,"",0,1)*E80</f>
        <v>9135.0000000000018</v>
      </c>
      <c r="G80" s="30">
        <f>_xlfn.XLOOKUP(A80&amp;B80&amp;C80,'Gross Profit &amp; EBITDA'!D:D,'Gross Profit &amp; EBITDA'!F:F,"",0,1)*E80</f>
        <v>3045</v>
      </c>
    </row>
    <row r="81" spans="1:7" x14ac:dyDescent="0.2">
      <c r="A81" s="29" t="s">
        <v>14</v>
      </c>
      <c r="B81" s="29">
        <v>2021</v>
      </c>
      <c r="C81" s="29" t="s">
        <v>5</v>
      </c>
      <c r="D81" s="29" t="s">
        <v>4</v>
      </c>
      <c r="E81">
        <f>INDEX('Financials USA'!$E$7:$N$19,MATCH('Input Data'!D81&amp;C81,'Financials USA'!$A$7:$A$19,0),MATCH('Input Data'!B81,'Financials USA'!$E$1:$N$1,0))</f>
        <v>7470</v>
      </c>
      <c r="F81" s="30">
        <f>_xlfn.XLOOKUP(A81&amp;B81&amp;C81,'Gross Profit &amp; EBITDA'!D:D,'Gross Profit &amp; EBITDA'!E:E,"",0,1)*E81</f>
        <v>4482.0000000000009</v>
      </c>
      <c r="G81" s="30">
        <f>_xlfn.XLOOKUP(A81&amp;B81&amp;C81,'Gross Profit &amp; EBITDA'!D:D,'Gross Profit &amp; EBITDA'!F:F,"",0,1)*E81</f>
        <v>1494</v>
      </c>
    </row>
    <row r="82" spans="1:7" x14ac:dyDescent="0.2">
      <c r="A82" s="29" t="s">
        <v>14</v>
      </c>
      <c r="B82" s="29">
        <v>2021</v>
      </c>
      <c r="C82" s="29" t="s">
        <v>8</v>
      </c>
      <c r="D82" s="29" t="s">
        <v>6</v>
      </c>
      <c r="E82">
        <f>INDEX('Financials USA'!$E$7:$N$19,MATCH('Input Data'!D82&amp;C82,'Financials USA'!$A$7:$A$19,0),MATCH('Input Data'!B82,'Financials USA'!$E$1:$N$1,0))</f>
        <v>91350</v>
      </c>
      <c r="F82" s="30">
        <f>_xlfn.XLOOKUP(A82&amp;B82&amp;C82,'Gross Profit &amp; EBITDA'!D:D,'Gross Profit &amp; EBITDA'!E:E,"",0,1)*E82</f>
        <v>63945.000000000007</v>
      </c>
      <c r="G82" s="30">
        <f>_xlfn.XLOOKUP(A82&amp;B82&amp;C82,'Gross Profit &amp; EBITDA'!D:D,'Gross Profit &amp; EBITDA'!F:F,"",0,1)*E82</f>
        <v>9135</v>
      </c>
    </row>
    <row r="83" spans="1:7" x14ac:dyDescent="0.2">
      <c r="A83" s="29" t="s">
        <v>14</v>
      </c>
      <c r="B83" s="29">
        <v>2021</v>
      </c>
      <c r="C83" s="29" t="s">
        <v>8</v>
      </c>
      <c r="D83" s="29" t="s">
        <v>4</v>
      </c>
      <c r="E83">
        <f>INDEX('Financials USA'!$E$7:$N$19,MATCH('Input Data'!D83&amp;C83,'Financials USA'!$A$7:$A$19,0),MATCH('Input Data'!B83,'Financials USA'!$E$1:$N$1,0))</f>
        <v>29880</v>
      </c>
      <c r="F83" s="30">
        <f>_xlfn.XLOOKUP(A83&amp;B83&amp;C83,'Gross Profit &amp; EBITDA'!D:D,'Gross Profit &amp; EBITDA'!E:E,"",0,1)*E83</f>
        <v>20916.000000000004</v>
      </c>
      <c r="G83" s="30">
        <f>_xlfn.XLOOKUP(A83&amp;B83&amp;C83,'Gross Profit &amp; EBITDA'!D:D,'Gross Profit &amp; EBITDA'!F:F,"",0,1)*E83</f>
        <v>2988</v>
      </c>
    </row>
    <row r="84" spans="1:7" x14ac:dyDescent="0.2">
      <c r="A84" s="29" t="s">
        <v>14</v>
      </c>
      <c r="B84" s="29">
        <v>2021</v>
      </c>
      <c r="C84" s="29" t="s">
        <v>9</v>
      </c>
      <c r="D84" s="29" t="s">
        <v>6</v>
      </c>
      <c r="E84">
        <f>INDEX('Financials USA'!$E$7:$N$19,MATCH('Input Data'!D84&amp;C84,'Financials USA'!$A$7:$A$19,0),MATCH('Input Data'!B84,'Financials USA'!$E$1:$N$1,0))</f>
        <v>6756</v>
      </c>
      <c r="F84" s="30">
        <f>_xlfn.XLOOKUP(A84&amp;B84&amp;C84,'Gross Profit &amp; EBITDA'!D:D,'Gross Profit &amp; EBITDA'!E:E,"",0,1)*E84</f>
        <v>5404.8</v>
      </c>
      <c r="G84" s="30">
        <f>_xlfn.XLOOKUP(A84&amp;B84&amp;C84,'Gross Profit &amp; EBITDA'!D:D,'Gross Profit &amp; EBITDA'!F:F,"",0,1)*E84</f>
        <v>1351.2</v>
      </c>
    </row>
    <row r="85" spans="1:7" x14ac:dyDescent="0.2">
      <c r="A85" s="29" t="s">
        <v>14</v>
      </c>
      <c r="B85" s="29">
        <v>2021</v>
      </c>
      <c r="C85" s="29" t="s">
        <v>9</v>
      </c>
      <c r="D85" s="29" t="s">
        <v>4</v>
      </c>
      <c r="E85">
        <f>INDEX('Financials USA'!$E$7:$N$19,MATCH('Input Data'!D85&amp;C85,'Financials USA'!$A$7:$A$19,0),MATCH('Input Data'!B85,'Financials USA'!$E$1:$N$1,0))</f>
        <v>3252</v>
      </c>
      <c r="F85" s="30">
        <f>_xlfn.XLOOKUP(A85&amp;B85&amp;C85,'Gross Profit &amp; EBITDA'!D:D,'Gross Profit &amp; EBITDA'!E:E,"",0,1)*E85</f>
        <v>2601.6000000000004</v>
      </c>
      <c r="G85" s="30">
        <f>_xlfn.XLOOKUP(A85&amp;B85&amp;C85,'Gross Profit &amp; EBITDA'!D:D,'Gross Profit &amp; EBITDA'!F:F,"",0,1)*E85</f>
        <v>650.40000000000009</v>
      </c>
    </row>
    <row r="86" spans="1:7" x14ac:dyDescent="0.2">
      <c r="A86" s="29" t="s">
        <v>14</v>
      </c>
      <c r="B86" s="29">
        <v>2022</v>
      </c>
      <c r="C86" s="29" t="s">
        <v>5</v>
      </c>
      <c r="D86" s="29" t="s">
        <v>6</v>
      </c>
      <c r="E86">
        <f>INDEX('Financials USA'!$E$7:$N$19,MATCH('Input Data'!D86&amp;C86,'Financials USA'!$A$7:$A$19,0),MATCH('Input Data'!B86,'Financials USA'!$E$1:$N$1,0))</f>
        <v>14484</v>
      </c>
      <c r="F86" s="30">
        <f>_xlfn.XLOOKUP(A86&amp;B86&amp;C86,'Gross Profit &amp; EBITDA'!D:D,'Gross Profit &amp; EBITDA'!E:E,"",0,1)*E86</f>
        <v>10138.800000000001</v>
      </c>
      <c r="G86" s="30">
        <f>_xlfn.XLOOKUP(A86&amp;B86&amp;C86,'Gross Profit &amp; EBITDA'!D:D,'Gross Profit &amp; EBITDA'!F:F,"",0,1)*E86</f>
        <v>1448.4</v>
      </c>
    </row>
    <row r="87" spans="1:7" x14ac:dyDescent="0.2">
      <c r="A87" s="29" t="s">
        <v>14</v>
      </c>
      <c r="B87" s="29">
        <v>2022</v>
      </c>
      <c r="C87" s="29" t="s">
        <v>5</v>
      </c>
      <c r="D87" s="29" t="s">
        <v>4</v>
      </c>
      <c r="E87">
        <f>INDEX('Financials USA'!$E$7:$N$19,MATCH('Input Data'!D87&amp;C87,'Financials USA'!$A$7:$A$19,0),MATCH('Input Data'!B87,'Financials USA'!$E$1:$N$1,0))</f>
        <v>11367</v>
      </c>
      <c r="F87" s="30">
        <f>_xlfn.XLOOKUP(A87&amp;B87&amp;C87,'Gross Profit &amp; EBITDA'!D:D,'Gross Profit &amp; EBITDA'!E:E,"",0,1)*E87</f>
        <v>7956.9000000000005</v>
      </c>
      <c r="G87" s="30">
        <f>_xlfn.XLOOKUP(A87&amp;B87&amp;C87,'Gross Profit &amp; EBITDA'!D:D,'Gross Profit &amp; EBITDA'!F:F,"",0,1)*E87</f>
        <v>1136.7</v>
      </c>
    </row>
    <row r="88" spans="1:7" x14ac:dyDescent="0.2">
      <c r="A88" s="29" t="s">
        <v>14</v>
      </c>
      <c r="B88" s="29">
        <v>2022</v>
      </c>
      <c r="C88" s="29" t="s">
        <v>8</v>
      </c>
      <c r="D88" s="29" t="s">
        <v>6</v>
      </c>
      <c r="E88">
        <f>INDEX('Financials USA'!$E$7:$N$19,MATCH('Input Data'!D88&amp;C88,'Financials USA'!$A$7:$A$19,0),MATCH('Input Data'!B88,'Financials USA'!$E$1:$N$1,0))</f>
        <v>86904</v>
      </c>
      <c r="F88" s="30">
        <f>_xlfn.XLOOKUP(A88&amp;B88&amp;C88,'Gross Profit &amp; EBITDA'!D:D,'Gross Profit &amp; EBITDA'!E:E,"",0,1)*E88</f>
        <v>43452</v>
      </c>
      <c r="G88" s="30">
        <f>_xlfn.XLOOKUP(A88&amp;B88&amp;C88,'Gross Profit &amp; EBITDA'!D:D,'Gross Profit &amp; EBITDA'!F:F,"",0,1)*E88</f>
        <v>8690.4</v>
      </c>
    </row>
    <row r="89" spans="1:7" x14ac:dyDescent="0.2">
      <c r="A89" s="29" t="s">
        <v>14</v>
      </c>
      <c r="B89" s="29">
        <v>2022</v>
      </c>
      <c r="C89" s="29" t="s">
        <v>8</v>
      </c>
      <c r="D89" s="29" t="s">
        <v>4</v>
      </c>
      <c r="E89">
        <f>INDEX('Financials USA'!$E$7:$N$19,MATCH('Input Data'!D89&amp;C89,'Financials USA'!$A$7:$A$19,0),MATCH('Input Data'!B89,'Financials USA'!$E$1:$N$1,0))</f>
        <v>22734</v>
      </c>
      <c r="F89" s="30">
        <f>_xlfn.XLOOKUP(A89&amp;B89&amp;C89,'Gross Profit &amp; EBITDA'!D:D,'Gross Profit &amp; EBITDA'!E:E,"",0,1)*E89</f>
        <v>11367</v>
      </c>
      <c r="G89" s="30">
        <f>_xlfn.XLOOKUP(A89&amp;B89&amp;C89,'Gross Profit &amp; EBITDA'!D:D,'Gross Profit &amp; EBITDA'!F:F,"",0,1)*E89</f>
        <v>2273.4</v>
      </c>
    </row>
    <row r="90" spans="1:7" x14ac:dyDescent="0.2">
      <c r="A90" s="29" t="s">
        <v>14</v>
      </c>
      <c r="B90" s="29">
        <v>2022</v>
      </c>
      <c r="C90" s="29" t="s">
        <v>9</v>
      </c>
      <c r="D90" s="29" t="s">
        <v>6</v>
      </c>
      <c r="E90">
        <f>INDEX('Financials USA'!$E$7:$N$19,MATCH('Input Data'!D90&amp;C90,'Financials USA'!$A$7:$A$19,0),MATCH('Input Data'!B90,'Financials USA'!$E$1:$N$1,0))</f>
        <v>18760</v>
      </c>
      <c r="F90" s="30">
        <f>_xlfn.XLOOKUP(A90&amp;B90&amp;C90,'Gross Profit &amp; EBITDA'!D:D,'Gross Profit &amp; EBITDA'!E:E,"",0,1)*E90</f>
        <v>15008</v>
      </c>
      <c r="G90" s="30">
        <f>_xlfn.XLOOKUP(A90&amp;B90&amp;C90,'Gross Profit &amp; EBITDA'!D:D,'Gross Profit &amp; EBITDA'!F:F,"",0,1)*E90</f>
        <v>1876</v>
      </c>
    </row>
    <row r="91" spans="1:7" x14ac:dyDescent="0.2">
      <c r="A91" s="29" t="s">
        <v>14</v>
      </c>
      <c r="B91" s="29">
        <v>2022</v>
      </c>
      <c r="C91" s="29" t="s">
        <v>9</v>
      </c>
      <c r="D91" s="29" t="s">
        <v>4</v>
      </c>
      <c r="E91">
        <f>INDEX('Financials USA'!$E$7:$N$19,MATCH('Input Data'!D91&amp;C91,'Financials USA'!$A$7:$A$19,0),MATCH('Input Data'!B91,'Financials USA'!$E$1:$N$1,0))</f>
        <v>3515</v>
      </c>
      <c r="F91" s="30">
        <f>_xlfn.XLOOKUP(A91&amp;B91&amp;C91,'Gross Profit &amp; EBITDA'!D:D,'Gross Profit &amp; EBITDA'!E:E,"",0,1)*E91</f>
        <v>2812</v>
      </c>
      <c r="G91" s="30">
        <f>_xlfn.XLOOKUP(A91&amp;B91&amp;C91,'Gross Profit &amp; EBITDA'!D:D,'Gross Profit &amp; EBITDA'!F:F,"",0,1)*E91</f>
        <v>351.5</v>
      </c>
    </row>
    <row r="92" spans="1:7" x14ac:dyDescent="0.2">
      <c r="A92" s="29" t="s">
        <v>14</v>
      </c>
      <c r="B92" s="29">
        <v>2023</v>
      </c>
      <c r="C92" s="29" t="s">
        <v>5</v>
      </c>
      <c r="D92" s="29" t="s">
        <v>6</v>
      </c>
      <c r="E92">
        <f>INDEX('Financials USA'!$E$7:$N$19,MATCH('Input Data'!D92&amp;C92,'Financials USA'!$A$7:$A$19,0),MATCH('Input Data'!B92,'Financials USA'!$E$1:$N$1,0))</f>
        <v>18660</v>
      </c>
      <c r="F92" s="30">
        <f>_xlfn.XLOOKUP(A92&amp;B92&amp;C92,'Gross Profit &amp; EBITDA'!D:D,'Gross Profit &amp; EBITDA'!E:E,"",0,1)*E92</f>
        <v>13062.000000000002</v>
      </c>
      <c r="G92" s="30">
        <f>_xlfn.XLOOKUP(A92&amp;B92&amp;C92,'Gross Profit &amp; EBITDA'!D:D,'Gross Profit &amp; EBITDA'!F:F,"",0,1)*E92</f>
        <v>3732</v>
      </c>
    </row>
    <row r="93" spans="1:7" x14ac:dyDescent="0.2">
      <c r="A93" s="29" t="s">
        <v>14</v>
      </c>
      <c r="B93" s="29">
        <v>2023</v>
      </c>
      <c r="C93" s="29" t="s">
        <v>5</v>
      </c>
      <c r="D93" s="29" t="s">
        <v>4</v>
      </c>
      <c r="E93">
        <f>INDEX('Financials USA'!$E$7:$N$19,MATCH('Input Data'!D93&amp;C93,'Financials USA'!$A$7:$A$19,0),MATCH('Input Data'!B93,'Financials USA'!$E$1:$N$1,0))</f>
        <v>6894</v>
      </c>
      <c r="F93" s="30">
        <f>_xlfn.XLOOKUP(A93&amp;B93&amp;C93,'Gross Profit &amp; EBITDA'!D:D,'Gross Profit &amp; EBITDA'!E:E,"",0,1)*E93</f>
        <v>4825.8</v>
      </c>
      <c r="G93" s="30">
        <f>_xlfn.XLOOKUP(A93&amp;B93&amp;C93,'Gross Profit &amp; EBITDA'!D:D,'Gross Profit &amp; EBITDA'!F:F,"",0,1)*E93</f>
        <v>1378.8000000000002</v>
      </c>
    </row>
    <row r="94" spans="1:7" x14ac:dyDescent="0.2">
      <c r="A94" s="29" t="s">
        <v>14</v>
      </c>
      <c r="B94" s="29">
        <v>2023</v>
      </c>
      <c r="C94" s="29" t="s">
        <v>8</v>
      </c>
      <c r="D94" s="29" t="s">
        <v>6</v>
      </c>
      <c r="E94">
        <f>INDEX('Financials USA'!$E$7:$N$19,MATCH('Input Data'!D94&amp;C94,'Financials USA'!$A$7:$A$19,0),MATCH('Input Data'!B94,'Financials USA'!$E$1:$N$1,0))</f>
        <v>111960</v>
      </c>
      <c r="F94" s="30">
        <f>_xlfn.XLOOKUP(A94&amp;B94&amp;C94,'Gross Profit &amp; EBITDA'!D:D,'Gross Profit &amp; EBITDA'!E:E,"",0,1)*E94</f>
        <v>78372.000000000015</v>
      </c>
      <c r="G94" s="30">
        <f>_xlfn.XLOOKUP(A94&amp;B94&amp;C94,'Gross Profit &amp; EBITDA'!D:D,'Gross Profit &amp; EBITDA'!F:F,"",0,1)*E94</f>
        <v>22392</v>
      </c>
    </row>
    <row r="95" spans="1:7" x14ac:dyDescent="0.2">
      <c r="A95" s="29" t="s">
        <v>14</v>
      </c>
      <c r="B95" s="29">
        <v>2023</v>
      </c>
      <c r="C95" s="29" t="s">
        <v>8</v>
      </c>
      <c r="D95" s="29" t="s">
        <v>4</v>
      </c>
      <c r="E95">
        <f>INDEX('Financials USA'!$E$7:$N$19,MATCH('Input Data'!D95&amp;C95,'Financials USA'!$A$7:$A$19,0),MATCH('Input Data'!B95,'Financials USA'!$E$1:$N$1,0))</f>
        <v>13788</v>
      </c>
      <c r="F95" s="30">
        <f>_xlfn.XLOOKUP(A95&amp;B95&amp;C95,'Gross Profit &amp; EBITDA'!D:D,'Gross Profit &amp; EBITDA'!E:E,"",0,1)*E95</f>
        <v>9651.6</v>
      </c>
      <c r="G95" s="30">
        <f>_xlfn.XLOOKUP(A95&amp;B95&amp;C95,'Gross Profit &amp; EBITDA'!D:D,'Gross Profit &amp; EBITDA'!F:F,"",0,1)*E95</f>
        <v>2757.6000000000004</v>
      </c>
    </row>
    <row r="96" spans="1:7" x14ac:dyDescent="0.2">
      <c r="A96" s="29" t="s">
        <v>14</v>
      </c>
      <c r="B96" s="29">
        <v>2023</v>
      </c>
      <c r="C96" s="29" t="s">
        <v>9</v>
      </c>
      <c r="D96" s="29" t="s">
        <v>6</v>
      </c>
      <c r="E96">
        <f>INDEX('Financials USA'!$E$7:$N$19,MATCH('Input Data'!D96&amp;C96,'Financials USA'!$A$7:$A$19,0),MATCH('Input Data'!B96,'Financials USA'!$E$1:$N$1,0))</f>
        <v>15933</v>
      </c>
      <c r="F96" s="30">
        <f>_xlfn.XLOOKUP(A96&amp;B96&amp;C96,'Gross Profit &amp; EBITDA'!D:D,'Gross Profit &amp; EBITDA'!E:E,"",0,1)*E96</f>
        <v>12746.400000000001</v>
      </c>
      <c r="G96" s="30">
        <f>_xlfn.XLOOKUP(A96&amp;B96&amp;C96,'Gross Profit &amp; EBITDA'!D:D,'Gross Profit &amp; EBITDA'!F:F,"",0,1)*E96</f>
        <v>1593.3000000000002</v>
      </c>
    </row>
    <row r="97" spans="1:7" x14ac:dyDescent="0.2">
      <c r="A97" s="29" t="s">
        <v>14</v>
      </c>
      <c r="B97" s="29">
        <v>2023</v>
      </c>
      <c r="C97" s="29" t="s">
        <v>9</v>
      </c>
      <c r="D97" s="29" t="s">
        <v>4</v>
      </c>
      <c r="E97">
        <f>INDEX('Financials USA'!$E$7:$N$19,MATCH('Input Data'!D97&amp;C97,'Financials USA'!$A$7:$A$19,0),MATCH('Input Data'!B97,'Financials USA'!$E$1:$N$1,0))</f>
        <v>5064</v>
      </c>
      <c r="F97" s="30">
        <f>_xlfn.XLOOKUP(A97&amp;B97&amp;C97,'Gross Profit &amp; EBITDA'!D:D,'Gross Profit &amp; EBITDA'!E:E,"",0,1)*E97</f>
        <v>4051.2000000000003</v>
      </c>
      <c r="G97" s="30">
        <f>_xlfn.XLOOKUP(A97&amp;B97&amp;C97,'Gross Profit &amp; EBITDA'!D:D,'Gross Profit &amp; EBITDA'!F:F,"",0,1)*E97</f>
        <v>506.40000000000003</v>
      </c>
    </row>
    <row r="98" spans="1:7" x14ac:dyDescent="0.2">
      <c r="A98" s="29" t="s">
        <v>14</v>
      </c>
      <c r="B98" s="29">
        <v>2024</v>
      </c>
      <c r="C98" s="29" t="s">
        <v>5</v>
      </c>
      <c r="D98" s="29" t="s">
        <v>6</v>
      </c>
      <c r="E98">
        <f>INDEX('Financials USA'!$E$7:$N$19,MATCH('Input Data'!D98&amp;C98,'Financials USA'!$A$7:$A$19,0),MATCH('Input Data'!B98,'Financials USA'!$E$1:$N$1,0))</f>
        <v>13958</v>
      </c>
      <c r="F98" s="30">
        <f>_xlfn.XLOOKUP(A98&amp;B98&amp;C98,'Gross Profit &amp; EBITDA'!D:D,'Gross Profit &amp; EBITDA'!E:E,"",0,1)*E98</f>
        <v>6979</v>
      </c>
      <c r="G98" s="30">
        <f>_xlfn.XLOOKUP(A98&amp;B98&amp;C98,'Gross Profit &amp; EBITDA'!D:D,'Gross Profit &amp; EBITDA'!F:F,"",0,1)*E98</f>
        <v>2791.6000000000004</v>
      </c>
    </row>
    <row r="99" spans="1:7" x14ac:dyDescent="0.2">
      <c r="A99" s="29" t="s">
        <v>14</v>
      </c>
      <c r="B99" s="29">
        <v>2024</v>
      </c>
      <c r="C99" s="29" t="s">
        <v>5</v>
      </c>
      <c r="D99" s="29" t="s">
        <v>4</v>
      </c>
      <c r="E99">
        <f>INDEX('Financials USA'!$E$7:$N$19,MATCH('Input Data'!D99&amp;C99,'Financials USA'!$A$7:$A$19,0),MATCH('Input Data'!B99,'Financials USA'!$E$1:$N$1,0))</f>
        <v>8880</v>
      </c>
      <c r="F99" s="30">
        <f>_xlfn.XLOOKUP(A99&amp;B99&amp;C99,'Gross Profit &amp; EBITDA'!D:D,'Gross Profit &amp; EBITDA'!E:E,"",0,1)*E99</f>
        <v>4440</v>
      </c>
      <c r="G99" s="30">
        <f>_xlfn.XLOOKUP(A99&amp;B99&amp;C99,'Gross Profit &amp; EBITDA'!D:D,'Gross Profit &amp; EBITDA'!F:F,"",0,1)*E99</f>
        <v>1776</v>
      </c>
    </row>
    <row r="100" spans="1:7" x14ac:dyDescent="0.2">
      <c r="A100" s="29" t="s">
        <v>14</v>
      </c>
      <c r="B100" s="29">
        <v>2024</v>
      </c>
      <c r="C100" s="29" t="s">
        <v>8</v>
      </c>
      <c r="D100" s="29" t="s">
        <v>6</v>
      </c>
      <c r="E100">
        <f>INDEX('Financials USA'!$E$7:$N$19,MATCH('Input Data'!D100&amp;C100,'Financials USA'!$A$7:$A$19,0),MATCH('Input Data'!B100,'Financials USA'!$E$1:$N$1,0))</f>
        <v>41874</v>
      </c>
      <c r="F100" s="30">
        <f>_xlfn.XLOOKUP(A100&amp;B100&amp;C100,'Gross Profit &amp; EBITDA'!D:D,'Gross Profit &amp; EBITDA'!E:E,"",0,1)*E100</f>
        <v>20937</v>
      </c>
      <c r="G100" s="30">
        <f>_xlfn.XLOOKUP(A100&amp;B100&amp;C100,'Gross Profit &amp; EBITDA'!D:D,'Gross Profit &amp; EBITDA'!F:F,"",0,1)*E100</f>
        <v>4187.4000000000005</v>
      </c>
    </row>
    <row r="101" spans="1:7" x14ac:dyDescent="0.2">
      <c r="A101" s="29" t="s">
        <v>14</v>
      </c>
      <c r="B101" s="29">
        <v>2024</v>
      </c>
      <c r="C101" s="29" t="s">
        <v>8</v>
      </c>
      <c r="D101" s="29" t="s">
        <v>4</v>
      </c>
      <c r="E101">
        <f>INDEX('Financials USA'!$E$7:$N$19,MATCH('Input Data'!D101&amp;C101,'Financials USA'!$A$7:$A$19,0),MATCH('Input Data'!B101,'Financials USA'!$E$1:$N$1,0))</f>
        <v>53280</v>
      </c>
      <c r="F101" s="30">
        <f>_xlfn.XLOOKUP(A101&amp;B101&amp;C101,'Gross Profit &amp; EBITDA'!D:D,'Gross Profit &amp; EBITDA'!E:E,"",0,1)*E101</f>
        <v>26640</v>
      </c>
      <c r="G101" s="30">
        <f>_xlfn.XLOOKUP(A101&amp;B101&amp;C101,'Gross Profit &amp; EBITDA'!D:D,'Gross Profit &amp; EBITDA'!F:F,"",0,1)*E101</f>
        <v>5328</v>
      </c>
    </row>
    <row r="102" spans="1:7" x14ac:dyDescent="0.2">
      <c r="A102" s="29" t="s">
        <v>14</v>
      </c>
      <c r="B102" s="29">
        <v>2024</v>
      </c>
      <c r="C102" s="29" t="s">
        <v>9</v>
      </c>
      <c r="D102" s="29" t="s">
        <v>6</v>
      </c>
      <c r="E102">
        <f>INDEX('Financials USA'!$E$7:$N$19,MATCH('Input Data'!D102&amp;C102,'Financials USA'!$A$7:$A$19,0),MATCH('Input Data'!B102,'Financials USA'!$E$1:$N$1,0))</f>
        <v>6528</v>
      </c>
      <c r="F102" s="30">
        <f>_xlfn.XLOOKUP(A102&amp;B102&amp;C102,'Gross Profit &amp; EBITDA'!D:D,'Gross Profit &amp; EBITDA'!E:E,"",0,1)*E102</f>
        <v>4569.6000000000004</v>
      </c>
      <c r="G102" s="30">
        <f>_xlfn.XLOOKUP(A102&amp;B102&amp;C102,'Gross Profit &amp; EBITDA'!D:D,'Gross Profit &amp; EBITDA'!F:F,"",0,1)*E102</f>
        <v>652.80000000000007</v>
      </c>
    </row>
    <row r="103" spans="1:7" x14ac:dyDescent="0.2">
      <c r="A103" s="29" t="s">
        <v>14</v>
      </c>
      <c r="B103" s="29">
        <v>2024</v>
      </c>
      <c r="C103" s="29" t="s">
        <v>9</v>
      </c>
      <c r="D103" s="29" t="s">
        <v>4</v>
      </c>
      <c r="E103">
        <f>INDEX('Financials USA'!$E$7:$N$19,MATCH('Input Data'!D103&amp;C103,'Financials USA'!$A$7:$A$19,0),MATCH('Input Data'!B103,'Financials USA'!$E$1:$N$1,0))</f>
        <v>9666</v>
      </c>
      <c r="F103" s="30">
        <f>_xlfn.XLOOKUP(A103&amp;B103&amp;C103,'Gross Profit &amp; EBITDA'!D:D,'Gross Profit &amp; EBITDA'!E:E,"",0,1)*E103</f>
        <v>6766.2000000000007</v>
      </c>
      <c r="G103" s="30">
        <f>_xlfn.XLOOKUP(A103&amp;B103&amp;C103,'Gross Profit &amp; EBITDA'!D:D,'Gross Profit &amp; EBITDA'!F:F,"",0,1)*E103</f>
        <v>966.6</v>
      </c>
    </row>
    <row r="104" spans="1:7" x14ac:dyDescent="0.2">
      <c r="A104" s="29" t="s">
        <v>14</v>
      </c>
      <c r="B104" s="29">
        <v>2025</v>
      </c>
      <c r="C104" s="29" t="s">
        <v>5</v>
      </c>
      <c r="D104" s="29" t="s">
        <v>6</v>
      </c>
      <c r="E104">
        <f>INDEX('Financials USA'!$E$7:$N$19,MATCH('Input Data'!D104&amp;C104,'Financials USA'!$A$7:$A$19,0),MATCH('Input Data'!B104,'Financials USA'!$E$1:$N$1,0))</f>
        <v>26427</v>
      </c>
      <c r="F104" s="30">
        <f>_xlfn.XLOOKUP(A104&amp;B104&amp;C104,'Gross Profit &amp; EBITDA'!D:D,'Gross Profit &amp; EBITDA'!E:E,"",0,1)*E104</f>
        <v>15856.200000000003</v>
      </c>
      <c r="G104" s="30">
        <f>_xlfn.XLOOKUP(A104&amp;B104&amp;C104,'Gross Profit &amp; EBITDA'!D:D,'Gross Profit &amp; EBITDA'!F:F,"",0,1)*E104</f>
        <v>2642.7000000000003</v>
      </c>
    </row>
    <row r="105" spans="1:7" x14ac:dyDescent="0.2">
      <c r="A105" s="29" t="s">
        <v>14</v>
      </c>
      <c r="B105" s="29">
        <v>2025</v>
      </c>
      <c r="C105" s="29" t="s">
        <v>5</v>
      </c>
      <c r="D105" s="29" t="s">
        <v>4</v>
      </c>
      <c r="E105">
        <f>INDEX('Financials USA'!$E$7:$N$19,MATCH('Input Data'!D105&amp;C105,'Financials USA'!$A$7:$A$19,0),MATCH('Input Data'!B105,'Financials USA'!$E$1:$N$1,0))</f>
        <v>4901</v>
      </c>
      <c r="F105" s="30">
        <f>_xlfn.XLOOKUP(A105&amp;B105&amp;C105,'Gross Profit &amp; EBITDA'!D:D,'Gross Profit &amp; EBITDA'!E:E,"",0,1)*E105</f>
        <v>2940.6000000000004</v>
      </c>
      <c r="G105" s="30">
        <f>_xlfn.XLOOKUP(A105&amp;B105&amp;C105,'Gross Profit &amp; EBITDA'!D:D,'Gross Profit &amp; EBITDA'!F:F,"",0,1)*E105</f>
        <v>490.1</v>
      </c>
    </row>
    <row r="106" spans="1:7" x14ac:dyDescent="0.2">
      <c r="A106" s="29" t="s">
        <v>14</v>
      </c>
      <c r="B106" s="29">
        <v>2025</v>
      </c>
      <c r="C106" s="29" t="s">
        <v>8</v>
      </c>
      <c r="D106" s="29" t="s">
        <v>6</v>
      </c>
      <c r="E106">
        <f>INDEX('Financials USA'!$E$7:$N$19,MATCH('Input Data'!D106&amp;C106,'Financials USA'!$A$7:$A$19,0),MATCH('Input Data'!B106,'Financials USA'!$E$1:$N$1,0))</f>
        <v>52854</v>
      </c>
      <c r="F106" s="30">
        <f>_xlfn.XLOOKUP(A106&amp;B106&amp;C106,'Gross Profit &amp; EBITDA'!D:D,'Gross Profit &amp; EBITDA'!E:E,"",0,1)*E106</f>
        <v>36997.800000000003</v>
      </c>
      <c r="G106" s="30">
        <f>_xlfn.XLOOKUP(A106&amp;B106&amp;C106,'Gross Profit &amp; EBITDA'!D:D,'Gross Profit &amp; EBITDA'!F:F,"",0,1)*E106</f>
        <v>10570.800000000001</v>
      </c>
    </row>
    <row r="107" spans="1:7" x14ac:dyDescent="0.2">
      <c r="A107" s="29" t="s">
        <v>14</v>
      </c>
      <c r="B107" s="29">
        <v>2025</v>
      </c>
      <c r="C107" s="29" t="s">
        <v>8</v>
      </c>
      <c r="D107" s="29" t="s">
        <v>4</v>
      </c>
      <c r="E107">
        <f>INDEX('Financials USA'!$E$7:$N$19,MATCH('Input Data'!D107&amp;C107,'Financials USA'!$A$7:$A$19,0),MATCH('Input Data'!B107,'Financials USA'!$E$1:$N$1,0))</f>
        <v>14703</v>
      </c>
      <c r="F107" s="30">
        <f>_xlfn.XLOOKUP(A107&amp;B107&amp;C107,'Gross Profit &amp; EBITDA'!D:D,'Gross Profit &amp; EBITDA'!E:E,"",0,1)*E107</f>
        <v>10292.1</v>
      </c>
      <c r="G107" s="30">
        <f>_xlfn.XLOOKUP(A107&amp;B107&amp;C107,'Gross Profit &amp; EBITDA'!D:D,'Gross Profit &amp; EBITDA'!F:F,"",0,1)*E107</f>
        <v>2940.6000000000004</v>
      </c>
    </row>
    <row r="108" spans="1:7" x14ac:dyDescent="0.2">
      <c r="A108" s="29" t="s">
        <v>14</v>
      </c>
      <c r="B108" s="29">
        <v>2025</v>
      </c>
      <c r="C108" s="29" t="s">
        <v>9</v>
      </c>
      <c r="D108" s="29" t="s">
        <v>6</v>
      </c>
      <c r="E108">
        <f>INDEX('Financials USA'!$E$7:$N$19,MATCH('Input Data'!D108&amp;C108,'Financials USA'!$A$7:$A$19,0),MATCH('Input Data'!B108,'Financials USA'!$E$1:$N$1,0))</f>
        <v>68814</v>
      </c>
      <c r="F108" s="30">
        <f>_xlfn.XLOOKUP(A108&amp;B108&amp;C108,'Gross Profit &amp; EBITDA'!D:D,'Gross Profit &amp; EBITDA'!E:E,"",0,1)*E108</f>
        <v>34407</v>
      </c>
      <c r="G108" s="30">
        <f>_xlfn.XLOOKUP(A108&amp;B108&amp;C108,'Gross Profit &amp; EBITDA'!D:D,'Gross Profit &amp; EBITDA'!F:F,"",0,1)*E108</f>
        <v>13762.800000000001</v>
      </c>
    </row>
    <row r="109" spans="1:7" x14ac:dyDescent="0.2">
      <c r="A109" s="29" t="s">
        <v>14</v>
      </c>
      <c r="B109" s="29">
        <v>2025</v>
      </c>
      <c r="C109" s="29" t="s">
        <v>9</v>
      </c>
      <c r="D109" s="29" t="s">
        <v>4</v>
      </c>
      <c r="E109">
        <f>INDEX('Financials USA'!$E$7:$N$19,MATCH('Input Data'!D109&amp;C109,'Financials USA'!$A$7:$A$19,0),MATCH('Input Data'!B109,'Financials USA'!$E$1:$N$1,0))</f>
        <v>1365</v>
      </c>
      <c r="F109" s="30">
        <f>_xlfn.XLOOKUP(A109&amp;B109&amp;C109,'Gross Profit &amp; EBITDA'!D:D,'Gross Profit &amp; EBITDA'!E:E,"",0,1)*E109</f>
        <v>682.5</v>
      </c>
      <c r="G109" s="30">
        <f>_xlfn.XLOOKUP(A109&amp;B109&amp;C109,'Gross Profit &amp; EBITDA'!D:D,'Gross Profit &amp; EBITDA'!F:F,"",0,1)*E109</f>
        <v>273</v>
      </c>
    </row>
    <row r="110" spans="1:7" x14ac:dyDescent="0.2">
      <c r="A110" s="29" t="s">
        <v>14</v>
      </c>
      <c r="B110" s="29">
        <v>2026</v>
      </c>
      <c r="C110" s="29" t="s">
        <v>5</v>
      </c>
      <c r="D110" s="29" t="s">
        <v>6</v>
      </c>
      <c r="E110">
        <f>INDEX('Financials USA'!$E$7:$N$19,MATCH('Input Data'!D110&amp;C110,'Financials USA'!$A$7:$A$19,0),MATCH('Input Data'!B110,'Financials USA'!$E$1:$N$1,0))</f>
        <v>24219</v>
      </c>
      <c r="F110" s="30">
        <f>_xlfn.XLOOKUP(A110&amp;B110&amp;C110,'Gross Profit &amp; EBITDA'!D:D,'Gross Profit &amp; EBITDA'!E:E,"",0,1)*E110</f>
        <v>12109.5</v>
      </c>
      <c r="G110" s="30">
        <f>_xlfn.XLOOKUP(A110&amp;B110&amp;C110,'Gross Profit &amp; EBITDA'!D:D,'Gross Profit &amp; EBITDA'!F:F,"",0,1)*E110</f>
        <v>4843.8</v>
      </c>
    </row>
    <row r="111" spans="1:7" x14ac:dyDescent="0.2">
      <c r="A111" s="29" t="s">
        <v>14</v>
      </c>
      <c r="B111" s="29">
        <v>2026</v>
      </c>
      <c r="C111" s="29" t="s">
        <v>5</v>
      </c>
      <c r="D111" s="29" t="s">
        <v>4</v>
      </c>
      <c r="E111">
        <f>INDEX('Financials USA'!$E$7:$N$19,MATCH('Input Data'!D111&amp;C111,'Financials USA'!$A$7:$A$19,0),MATCH('Input Data'!B111,'Financials USA'!$E$1:$N$1,0))</f>
        <v>3828</v>
      </c>
      <c r="F111" s="30">
        <f>_xlfn.XLOOKUP(A111&amp;B111&amp;C111,'Gross Profit &amp; EBITDA'!D:D,'Gross Profit &amp; EBITDA'!E:E,"",0,1)*E111</f>
        <v>1914</v>
      </c>
      <c r="G111" s="30">
        <f>_xlfn.XLOOKUP(A111&amp;B111&amp;C111,'Gross Profit &amp; EBITDA'!D:D,'Gross Profit &amp; EBITDA'!F:F,"",0,1)*E111</f>
        <v>765.6</v>
      </c>
    </row>
    <row r="112" spans="1:7" x14ac:dyDescent="0.2">
      <c r="A112" s="29" t="s">
        <v>14</v>
      </c>
      <c r="B112" s="29">
        <v>2026</v>
      </c>
      <c r="C112" s="29" t="s">
        <v>8</v>
      </c>
      <c r="D112" s="29" t="s">
        <v>6</v>
      </c>
      <c r="E112">
        <f>INDEX('Financials USA'!$E$7:$N$19,MATCH('Input Data'!D112&amp;C112,'Financials USA'!$A$7:$A$19,0),MATCH('Input Data'!B112,'Financials USA'!$E$1:$N$1,0))</f>
        <v>96876</v>
      </c>
      <c r="F112" s="30">
        <f>_xlfn.XLOOKUP(A112&amp;B112&amp;C112,'Gross Profit &amp; EBITDA'!D:D,'Gross Profit &amp; EBITDA'!E:E,"",0,1)*E112</f>
        <v>58125.600000000006</v>
      </c>
      <c r="G112" s="30">
        <f>_xlfn.XLOOKUP(A112&amp;B112&amp;C112,'Gross Profit &amp; EBITDA'!D:D,'Gross Profit &amp; EBITDA'!F:F,"",0,1)*E112</f>
        <v>19375.2</v>
      </c>
    </row>
    <row r="113" spans="1:7" x14ac:dyDescent="0.2">
      <c r="A113" s="29" t="s">
        <v>14</v>
      </c>
      <c r="B113" s="29">
        <v>2026</v>
      </c>
      <c r="C113" s="29" t="s">
        <v>8</v>
      </c>
      <c r="D113" s="29" t="s">
        <v>4</v>
      </c>
      <c r="E113">
        <f>INDEX('Financials USA'!$E$7:$N$19,MATCH('Input Data'!D113&amp;C113,'Financials USA'!$A$7:$A$19,0),MATCH('Input Data'!B113,'Financials USA'!$E$1:$N$1,0))</f>
        <v>3828</v>
      </c>
      <c r="F113" s="30">
        <f>_xlfn.XLOOKUP(A113&amp;B113&amp;C113,'Gross Profit &amp; EBITDA'!D:D,'Gross Profit &amp; EBITDA'!E:E,"",0,1)*E113</f>
        <v>2296.8000000000002</v>
      </c>
      <c r="G113" s="30">
        <f>_xlfn.XLOOKUP(A113&amp;B113&amp;C113,'Gross Profit &amp; EBITDA'!D:D,'Gross Profit &amp; EBITDA'!F:F,"",0,1)*E113</f>
        <v>765.6</v>
      </c>
    </row>
    <row r="114" spans="1:7" x14ac:dyDescent="0.2">
      <c r="A114" s="29" t="s">
        <v>14</v>
      </c>
      <c r="B114" s="29">
        <v>2026</v>
      </c>
      <c r="C114" s="29" t="s">
        <v>9</v>
      </c>
      <c r="D114" s="29" t="s">
        <v>6</v>
      </c>
      <c r="E114">
        <f>INDEX('Financials USA'!$E$7:$N$19,MATCH('Input Data'!D114&amp;C114,'Financials USA'!$A$7:$A$19,0),MATCH('Input Data'!B114,'Financials USA'!$E$1:$N$1,0))</f>
        <v>32694</v>
      </c>
      <c r="F114" s="30">
        <f>_xlfn.XLOOKUP(A114&amp;B114&amp;C114,'Gross Profit &amp; EBITDA'!D:D,'Gross Profit &amp; EBITDA'!E:E,"",0,1)*E114</f>
        <v>16347</v>
      </c>
      <c r="G114" s="30">
        <f>_xlfn.XLOOKUP(A114&amp;B114&amp;C114,'Gross Profit &amp; EBITDA'!D:D,'Gross Profit &amp; EBITDA'!F:F,"",0,1)*E114</f>
        <v>6538.8</v>
      </c>
    </row>
    <row r="115" spans="1:7" x14ac:dyDescent="0.2">
      <c r="A115" s="29" t="s">
        <v>14</v>
      </c>
      <c r="B115" s="29">
        <v>2026</v>
      </c>
      <c r="C115" s="29" t="s">
        <v>9</v>
      </c>
      <c r="D115" s="29" t="s">
        <v>4</v>
      </c>
      <c r="E115">
        <f>INDEX('Financials USA'!$E$7:$N$19,MATCH('Input Data'!D115&amp;C115,'Financials USA'!$A$7:$A$19,0),MATCH('Input Data'!B115,'Financials USA'!$E$1:$N$1,0))</f>
        <v>3022</v>
      </c>
      <c r="F115" s="30">
        <f>_xlfn.XLOOKUP(A115&amp;B115&amp;C115,'Gross Profit &amp; EBITDA'!D:D,'Gross Profit &amp; EBITDA'!E:E,"",0,1)*E115</f>
        <v>1511</v>
      </c>
      <c r="G115" s="30">
        <f>_xlfn.XLOOKUP(A115&amp;B115&amp;C115,'Gross Profit &amp; EBITDA'!D:D,'Gross Profit &amp; EBITDA'!F:F,"",0,1)*E115</f>
        <v>604.4</v>
      </c>
    </row>
    <row r="116" spans="1:7" x14ac:dyDescent="0.2">
      <c r="A116" s="29" t="s">
        <v>14</v>
      </c>
      <c r="B116" s="29">
        <v>2027</v>
      </c>
      <c r="C116" s="29" t="s">
        <v>5</v>
      </c>
      <c r="D116" s="29" t="s">
        <v>6</v>
      </c>
      <c r="E116">
        <f>INDEX('Financials USA'!$E$7:$N$19,MATCH('Input Data'!D116&amp;C116,'Financials USA'!$A$7:$A$19,0),MATCH('Input Data'!B116,'Financials USA'!$E$1:$N$1,0))</f>
        <v>23442</v>
      </c>
      <c r="F116" s="30">
        <f>_xlfn.XLOOKUP(A116&amp;B116&amp;C116,'Gross Profit &amp; EBITDA'!D:D,'Gross Profit &amp; EBITDA'!E:E,"",0,1)*E116</f>
        <v>11721</v>
      </c>
      <c r="G116" s="30">
        <f>_xlfn.XLOOKUP(A116&amp;B116&amp;C116,'Gross Profit &amp; EBITDA'!D:D,'Gross Profit &amp; EBITDA'!F:F,"",0,1)*E116</f>
        <v>2344.2000000000003</v>
      </c>
    </row>
    <row r="117" spans="1:7" x14ac:dyDescent="0.2">
      <c r="A117" s="29" t="s">
        <v>14</v>
      </c>
      <c r="B117" s="29">
        <v>2027</v>
      </c>
      <c r="C117" s="29" t="s">
        <v>5</v>
      </c>
      <c r="D117" s="29" t="s">
        <v>4</v>
      </c>
      <c r="E117">
        <f>INDEX('Financials USA'!$E$7:$N$19,MATCH('Input Data'!D117&amp;C117,'Financials USA'!$A$7:$A$19,0),MATCH('Input Data'!B117,'Financials USA'!$E$1:$N$1,0))</f>
        <v>5424</v>
      </c>
      <c r="F117" s="30">
        <f>_xlfn.XLOOKUP(A117&amp;B117&amp;C117,'Gross Profit &amp; EBITDA'!D:D,'Gross Profit &amp; EBITDA'!E:E,"",0,1)*E117</f>
        <v>2712</v>
      </c>
      <c r="G117" s="30">
        <f>_xlfn.XLOOKUP(A117&amp;B117&amp;C117,'Gross Profit &amp; EBITDA'!D:D,'Gross Profit &amp; EBITDA'!F:F,"",0,1)*E117</f>
        <v>542.4</v>
      </c>
    </row>
    <row r="118" spans="1:7" x14ac:dyDescent="0.2">
      <c r="A118" s="29" t="s">
        <v>14</v>
      </c>
      <c r="B118" s="29">
        <v>2027</v>
      </c>
      <c r="C118" s="29" t="s">
        <v>8</v>
      </c>
      <c r="D118" s="29" t="s">
        <v>6</v>
      </c>
      <c r="E118">
        <f>INDEX('Financials USA'!$E$7:$N$19,MATCH('Input Data'!D118&amp;C118,'Financials USA'!$A$7:$A$19,0),MATCH('Input Data'!B118,'Financials USA'!$E$1:$N$1,0))</f>
        <v>140652</v>
      </c>
      <c r="F118" s="30">
        <f>_xlfn.XLOOKUP(A118&amp;B118&amp;C118,'Gross Profit &amp; EBITDA'!D:D,'Gross Profit &amp; EBITDA'!E:E,"",0,1)*E118</f>
        <v>70326</v>
      </c>
      <c r="G118" s="30">
        <f>_xlfn.XLOOKUP(A118&amp;B118&amp;C118,'Gross Profit &amp; EBITDA'!D:D,'Gross Profit &amp; EBITDA'!F:F,"",0,1)*E118</f>
        <v>28130.400000000001</v>
      </c>
    </row>
    <row r="119" spans="1:7" x14ac:dyDescent="0.2">
      <c r="A119" s="29" t="s">
        <v>14</v>
      </c>
      <c r="B119" s="29">
        <v>2027</v>
      </c>
      <c r="C119" s="29" t="s">
        <v>8</v>
      </c>
      <c r="D119" s="29" t="s">
        <v>4</v>
      </c>
      <c r="E119">
        <f>INDEX('Financials USA'!$E$7:$N$19,MATCH('Input Data'!D119&amp;C119,'Financials USA'!$A$7:$A$19,0),MATCH('Input Data'!B119,'Financials USA'!$E$1:$N$1,0))</f>
        <v>5424</v>
      </c>
      <c r="F119" s="30">
        <f>_xlfn.XLOOKUP(A119&amp;B119&amp;C119,'Gross Profit &amp; EBITDA'!D:D,'Gross Profit &amp; EBITDA'!E:E,"",0,1)*E119</f>
        <v>2712</v>
      </c>
      <c r="G119" s="30">
        <f>_xlfn.XLOOKUP(A119&amp;B119&amp;C119,'Gross Profit &amp; EBITDA'!D:D,'Gross Profit &amp; EBITDA'!F:F,"",0,1)*E119</f>
        <v>1084.8</v>
      </c>
    </row>
    <row r="120" spans="1:7" x14ac:dyDescent="0.2">
      <c r="A120" s="29" t="s">
        <v>14</v>
      </c>
      <c r="B120" s="29">
        <v>2027</v>
      </c>
      <c r="C120" s="29" t="s">
        <v>9</v>
      </c>
      <c r="D120" s="29" t="s">
        <v>6</v>
      </c>
      <c r="E120">
        <f>INDEX('Financials USA'!$E$7:$N$19,MATCH('Input Data'!D120&amp;C120,'Financials USA'!$A$7:$A$19,0),MATCH('Input Data'!B120,'Financials USA'!$E$1:$N$1,0))</f>
        <v>9172</v>
      </c>
      <c r="F120" s="30">
        <f>_xlfn.XLOOKUP(A120&amp;B120&amp;C120,'Gross Profit &amp; EBITDA'!D:D,'Gross Profit &amp; EBITDA'!E:E,"",0,1)*E120</f>
        <v>5503.2000000000007</v>
      </c>
      <c r="G120" s="30">
        <f>_xlfn.XLOOKUP(A120&amp;B120&amp;C120,'Gross Profit &amp; EBITDA'!D:D,'Gross Profit &amp; EBITDA'!F:F,"",0,1)*E120</f>
        <v>1834.4</v>
      </c>
    </row>
    <row r="121" spans="1:7" x14ac:dyDescent="0.2">
      <c r="A121" s="29" t="s">
        <v>14</v>
      </c>
      <c r="B121" s="29">
        <v>2027</v>
      </c>
      <c r="C121" s="29" t="s">
        <v>9</v>
      </c>
      <c r="D121" s="29" t="s">
        <v>4</v>
      </c>
      <c r="E121">
        <f>INDEX('Financials USA'!$E$7:$N$19,MATCH('Input Data'!D121&amp;C121,'Financials USA'!$A$7:$A$19,0),MATCH('Input Data'!B121,'Financials USA'!$E$1:$N$1,0))</f>
        <v>15468</v>
      </c>
      <c r="F121" s="30">
        <f>_xlfn.XLOOKUP(A121&amp;B121&amp;C121,'Gross Profit &amp; EBITDA'!D:D,'Gross Profit &amp; EBITDA'!E:E,"",0,1)*E121</f>
        <v>9280.8000000000011</v>
      </c>
      <c r="G121" s="30">
        <f>_xlfn.XLOOKUP(A121&amp;B121&amp;C121,'Gross Profit &amp; EBITDA'!D:D,'Gross Profit &amp; EBITDA'!F:F,"",0,1)*E121</f>
        <v>3093.6000000000004</v>
      </c>
    </row>
    <row r="122" spans="1:7" x14ac:dyDescent="0.2">
      <c r="A122" s="29" t="s">
        <v>15</v>
      </c>
      <c r="B122" s="29">
        <v>2018</v>
      </c>
      <c r="C122" s="29" t="s">
        <v>5</v>
      </c>
      <c r="D122" s="29" t="s">
        <v>4</v>
      </c>
      <c r="E122">
        <f>INDEX('Financials Canada'!$E$7:$N$19,MATCH('Input Data'!D122&amp;C122,'Financials Canada'!$A$7:$A$19,0),MATCH('Input Data'!B122,'Financials Canada'!$E$1:$N$1,0))</f>
        <v>1869</v>
      </c>
      <c r="F122" s="30">
        <f>_xlfn.XLOOKUP(A122&amp;B122&amp;C122,'Gross Profit &amp; EBITDA'!D:D,'Gross Profit &amp; EBITDA'!E:E,"",0,1)*E122</f>
        <v>1121.4000000000001</v>
      </c>
      <c r="G122" s="30">
        <f>_xlfn.XLOOKUP(A122&amp;B122&amp;C122,'Gross Profit &amp; EBITDA'!D:D,'Gross Profit &amp; EBITDA'!F:F,"",0,1)*E122</f>
        <v>373.8</v>
      </c>
    </row>
    <row r="123" spans="1:7" x14ac:dyDescent="0.2">
      <c r="A123" s="29" t="s">
        <v>15</v>
      </c>
      <c r="B123" s="29">
        <v>2018</v>
      </c>
      <c r="C123" s="29" t="s">
        <v>5</v>
      </c>
      <c r="D123" s="29" t="s">
        <v>6</v>
      </c>
      <c r="E123">
        <f>INDEX('Financials Canada'!$E$7:$N$19,MATCH('Input Data'!D123&amp;C123,'Financials Canada'!$A$7:$A$19,0),MATCH('Input Data'!B123,'Financials Canada'!$E$1:$N$1,0))</f>
        <v>7987</v>
      </c>
      <c r="F123" s="30">
        <f>_xlfn.XLOOKUP(A123&amp;B123&amp;C123,'Gross Profit &amp; EBITDA'!D:D,'Gross Profit &amp; EBITDA'!E:E,"",0,1)*E123</f>
        <v>4792.2000000000007</v>
      </c>
      <c r="G123" s="30">
        <f>_xlfn.XLOOKUP(A123&amp;B123&amp;C123,'Gross Profit &amp; EBITDA'!D:D,'Gross Profit &amp; EBITDA'!F:F,"",0,1)*E123</f>
        <v>1597.4</v>
      </c>
    </row>
    <row r="124" spans="1:7" x14ac:dyDescent="0.2">
      <c r="A124" s="29" t="s">
        <v>15</v>
      </c>
      <c r="B124" s="29">
        <v>2018</v>
      </c>
      <c r="C124" s="29" t="s">
        <v>8</v>
      </c>
      <c r="D124" s="29" t="s">
        <v>4</v>
      </c>
      <c r="E124">
        <f>INDEX('Financials Canada'!$E$7:$N$19,MATCH('Input Data'!D124&amp;C124,'Financials Canada'!$A$7:$A$19,0),MATCH('Input Data'!B124,'Financials Canada'!$E$1:$N$1,0))</f>
        <v>2184</v>
      </c>
      <c r="F124" s="30">
        <f>_xlfn.XLOOKUP(A124&amp;B124&amp;C124,'Gross Profit &amp; EBITDA'!D:D,'Gross Profit &amp; EBITDA'!E:E,"",0,1)*E124</f>
        <v>1747.2</v>
      </c>
      <c r="G124" s="30">
        <f>_xlfn.XLOOKUP(A124&amp;B124&amp;C124,'Gross Profit &amp; EBITDA'!D:D,'Gross Profit &amp; EBITDA'!F:F,"",0,1)*E124</f>
        <v>218.4</v>
      </c>
    </row>
    <row r="125" spans="1:7" x14ac:dyDescent="0.2">
      <c r="A125" s="29" t="s">
        <v>15</v>
      </c>
      <c r="B125" s="29">
        <v>2018</v>
      </c>
      <c r="C125" s="29" t="s">
        <v>8</v>
      </c>
      <c r="D125" s="29" t="s">
        <v>6</v>
      </c>
      <c r="E125">
        <f>INDEX('Financials Canada'!$E$7:$N$19,MATCH('Input Data'!D125&amp;C125,'Financials Canada'!$A$7:$A$19,0),MATCH('Input Data'!B125,'Financials Canada'!$E$1:$N$1,0))</f>
        <v>3902</v>
      </c>
      <c r="F125" s="30">
        <f>_xlfn.XLOOKUP(A125&amp;B125&amp;C125,'Gross Profit &amp; EBITDA'!D:D,'Gross Profit &amp; EBITDA'!E:E,"",0,1)*E125</f>
        <v>3121.6000000000004</v>
      </c>
      <c r="G125" s="30">
        <f>_xlfn.XLOOKUP(A125&amp;B125&amp;C125,'Gross Profit &amp; EBITDA'!D:D,'Gross Profit &amp; EBITDA'!F:F,"",0,1)*E125</f>
        <v>390.20000000000005</v>
      </c>
    </row>
    <row r="126" spans="1:7" x14ac:dyDescent="0.2">
      <c r="A126" s="29" t="s">
        <v>15</v>
      </c>
      <c r="B126" s="29">
        <v>2018</v>
      </c>
      <c r="C126" s="29" t="s">
        <v>9</v>
      </c>
      <c r="D126" s="29" t="s">
        <v>4</v>
      </c>
      <c r="E126">
        <f>INDEX('Financials Canada'!$E$7:$N$19,MATCH('Input Data'!D126&amp;C126,'Financials Canada'!$A$7:$A$19,0),MATCH('Input Data'!B126,'Financials Canada'!$E$1:$N$1,0))</f>
        <v>684</v>
      </c>
      <c r="F126" s="30">
        <f>_xlfn.XLOOKUP(A126&amp;B126&amp;C126,'Gross Profit &amp; EBITDA'!D:D,'Gross Profit &amp; EBITDA'!E:E,"",0,1)*E126</f>
        <v>547.20000000000005</v>
      </c>
      <c r="G126" s="30">
        <f>_xlfn.XLOOKUP(A126&amp;B126&amp;C126,'Gross Profit &amp; EBITDA'!D:D,'Gross Profit &amp; EBITDA'!F:F,"",0,1)*E126</f>
        <v>136.80000000000001</v>
      </c>
    </row>
    <row r="127" spans="1:7" x14ac:dyDescent="0.2">
      <c r="A127" s="29" t="s">
        <v>15</v>
      </c>
      <c r="B127" s="29">
        <v>2018</v>
      </c>
      <c r="C127" s="29" t="s">
        <v>9</v>
      </c>
      <c r="D127" s="29" t="s">
        <v>6</v>
      </c>
      <c r="E127">
        <f>INDEX('Financials Canada'!$E$7:$N$19,MATCH('Input Data'!D127&amp;C127,'Financials Canada'!$A$7:$A$19,0),MATCH('Input Data'!B127,'Financials Canada'!$E$1:$N$1,0))</f>
        <v>4549</v>
      </c>
      <c r="F127" s="30">
        <f>_xlfn.XLOOKUP(A127&amp;B127&amp;C127,'Gross Profit &amp; EBITDA'!D:D,'Gross Profit &amp; EBITDA'!E:E,"",0,1)*E127</f>
        <v>3639.2000000000003</v>
      </c>
      <c r="G127" s="30">
        <f>_xlfn.XLOOKUP(A127&amp;B127&amp;C127,'Gross Profit &amp; EBITDA'!D:D,'Gross Profit &amp; EBITDA'!F:F,"",0,1)*E127</f>
        <v>909.80000000000007</v>
      </c>
    </row>
    <row r="128" spans="1:7" x14ac:dyDescent="0.2">
      <c r="A128" s="29" t="s">
        <v>15</v>
      </c>
      <c r="B128" s="29">
        <v>2019</v>
      </c>
      <c r="C128" s="29" t="s">
        <v>5</v>
      </c>
      <c r="D128" s="29" t="s">
        <v>4</v>
      </c>
      <c r="E128">
        <f>INDEX('Financials Canada'!$E$7:$N$19,MATCH('Input Data'!D128&amp;C128,'Financials Canada'!$A$7:$A$19,0),MATCH('Input Data'!B128,'Financials Canada'!$E$1:$N$1,0))</f>
        <v>3211</v>
      </c>
      <c r="F128" s="30">
        <f>_xlfn.XLOOKUP(A128&amp;B128&amp;C128,'Gross Profit &amp; EBITDA'!D:D,'Gross Profit &amp; EBITDA'!E:E,"",0,1)*E128</f>
        <v>1926.6000000000004</v>
      </c>
      <c r="G128" s="30">
        <f>_xlfn.XLOOKUP(A128&amp;B128&amp;C128,'Gross Profit &amp; EBITDA'!D:D,'Gross Profit &amp; EBITDA'!F:F,"",0,1)*E128</f>
        <v>642.20000000000005</v>
      </c>
    </row>
    <row r="129" spans="1:7" x14ac:dyDescent="0.2">
      <c r="A129" s="29" t="s">
        <v>15</v>
      </c>
      <c r="B129" s="29">
        <v>2019</v>
      </c>
      <c r="C129" s="29" t="s">
        <v>5</v>
      </c>
      <c r="D129" s="29" t="s">
        <v>6</v>
      </c>
      <c r="E129">
        <f>INDEX('Financials Canada'!$E$7:$N$19,MATCH('Input Data'!D129&amp;C129,'Financials Canada'!$A$7:$A$19,0),MATCH('Input Data'!B129,'Financials Canada'!$E$1:$N$1,0))</f>
        <v>7978</v>
      </c>
      <c r="F129" s="30">
        <f>_xlfn.XLOOKUP(A129&amp;B129&amp;C129,'Gross Profit &amp; EBITDA'!D:D,'Gross Profit &amp; EBITDA'!E:E,"",0,1)*E129</f>
        <v>4786.8000000000011</v>
      </c>
      <c r="G129" s="30">
        <f>_xlfn.XLOOKUP(A129&amp;B129&amp;C129,'Gross Profit &amp; EBITDA'!D:D,'Gross Profit &amp; EBITDA'!F:F,"",0,1)*E129</f>
        <v>1595.6000000000001</v>
      </c>
    </row>
    <row r="130" spans="1:7" x14ac:dyDescent="0.2">
      <c r="A130" s="29" t="s">
        <v>15</v>
      </c>
      <c r="B130" s="29">
        <v>2019</v>
      </c>
      <c r="C130" s="29" t="s">
        <v>8</v>
      </c>
      <c r="D130" s="29" t="s">
        <v>4</v>
      </c>
      <c r="E130">
        <f>INDEX('Financials Canada'!$E$7:$N$19,MATCH('Input Data'!D130&amp;C130,'Financials Canada'!$A$7:$A$19,0),MATCH('Input Data'!B130,'Financials Canada'!$E$1:$N$1,0))</f>
        <v>1395</v>
      </c>
      <c r="F130" s="30">
        <f>_xlfn.XLOOKUP(A130&amp;B130&amp;C130,'Gross Profit &amp; EBITDA'!D:D,'Gross Profit &amp; EBITDA'!E:E,"",0,1)*E130</f>
        <v>976.50000000000011</v>
      </c>
      <c r="G130" s="30">
        <f>_xlfn.XLOOKUP(A130&amp;B130&amp;C130,'Gross Profit &amp; EBITDA'!D:D,'Gross Profit &amp; EBITDA'!F:F,"",0,1)*E130</f>
        <v>139.5</v>
      </c>
    </row>
    <row r="131" spans="1:7" x14ac:dyDescent="0.2">
      <c r="A131" s="29" t="s">
        <v>15</v>
      </c>
      <c r="B131" s="29">
        <v>2019</v>
      </c>
      <c r="C131" s="29" t="s">
        <v>8</v>
      </c>
      <c r="D131" s="29" t="s">
        <v>6</v>
      </c>
      <c r="E131">
        <f>INDEX('Financials Canada'!$E$7:$N$19,MATCH('Input Data'!D131&amp;C131,'Financials Canada'!$A$7:$A$19,0),MATCH('Input Data'!B131,'Financials Canada'!$E$1:$N$1,0))</f>
        <v>3286</v>
      </c>
      <c r="F131" s="30">
        <f>_xlfn.XLOOKUP(A131&amp;B131&amp;C131,'Gross Profit &amp; EBITDA'!D:D,'Gross Profit &amp; EBITDA'!E:E,"",0,1)*E131</f>
        <v>2300.2000000000003</v>
      </c>
      <c r="G131" s="30">
        <f>_xlfn.XLOOKUP(A131&amp;B131&amp;C131,'Gross Profit &amp; EBITDA'!D:D,'Gross Profit &amp; EBITDA'!F:F,"",0,1)*E131</f>
        <v>328.6</v>
      </c>
    </row>
    <row r="132" spans="1:7" x14ac:dyDescent="0.2">
      <c r="A132" s="29" t="s">
        <v>15</v>
      </c>
      <c r="B132" s="29">
        <v>2019</v>
      </c>
      <c r="C132" s="29" t="s">
        <v>9</v>
      </c>
      <c r="D132" s="29" t="s">
        <v>4</v>
      </c>
      <c r="E132">
        <f>INDEX('Financials Canada'!$E$7:$N$19,MATCH('Input Data'!D132&amp;C132,'Financials Canada'!$A$7:$A$19,0),MATCH('Input Data'!B132,'Financials Canada'!$E$1:$N$1,0))</f>
        <v>2947</v>
      </c>
      <c r="F132" s="30">
        <f>_xlfn.XLOOKUP(A132&amp;B132&amp;C132,'Gross Profit &amp; EBITDA'!D:D,'Gross Profit &amp; EBITDA'!E:E,"",0,1)*E132</f>
        <v>1473.5</v>
      </c>
      <c r="G132" s="30">
        <f>_xlfn.XLOOKUP(A132&amp;B132&amp;C132,'Gross Profit &amp; EBITDA'!D:D,'Gross Profit &amp; EBITDA'!F:F,"",0,1)*E132</f>
        <v>589.4</v>
      </c>
    </row>
    <row r="133" spans="1:7" x14ac:dyDescent="0.2">
      <c r="A133" s="29" t="s">
        <v>15</v>
      </c>
      <c r="B133" s="29">
        <v>2019</v>
      </c>
      <c r="C133" s="29" t="s">
        <v>9</v>
      </c>
      <c r="D133" s="29" t="s">
        <v>6</v>
      </c>
      <c r="E133">
        <f>INDEX('Financials Canada'!$E$7:$N$19,MATCH('Input Data'!D133&amp;C133,'Financials Canada'!$A$7:$A$19,0),MATCH('Input Data'!B133,'Financials Canada'!$E$1:$N$1,0))</f>
        <v>2187</v>
      </c>
      <c r="F133" s="30">
        <f>_xlfn.XLOOKUP(A133&amp;B133&amp;C133,'Gross Profit &amp; EBITDA'!D:D,'Gross Profit &amp; EBITDA'!E:E,"",0,1)*E133</f>
        <v>1093.5</v>
      </c>
      <c r="G133" s="30">
        <f>_xlfn.XLOOKUP(A133&amp;B133&amp;C133,'Gross Profit &amp; EBITDA'!D:D,'Gross Profit &amp; EBITDA'!F:F,"",0,1)*E133</f>
        <v>437.40000000000003</v>
      </c>
    </row>
    <row r="134" spans="1:7" x14ac:dyDescent="0.2">
      <c r="A134" s="29" t="s">
        <v>15</v>
      </c>
      <c r="B134" s="29">
        <v>2020</v>
      </c>
      <c r="C134" s="29" t="s">
        <v>5</v>
      </c>
      <c r="D134" s="29" t="s">
        <v>4</v>
      </c>
      <c r="E134">
        <f>INDEX('Financials Canada'!$E$7:$N$19,MATCH('Input Data'!D134&amp;C134,'Financials Canada'!$A$7:$A$19,0),MATCH('Input Data'!B134,'Financials Canada'!$E$1:$N$1,0))</f>
        <v>2405</v>
      </c>
      <c r="F134" s="30">
        <f>_xlfn.XLOOKUP(A134&amp;B134&amp;C134,'Gross Profit &amp; EBITDA'!D:D,'Gross Profit &amp; EBITDA'!E:E,"",0,1)*E134</f>
        <v>1683.5000000000002</v>
      </c>
      <c r="G134" s="30">
        <f>_xlfn.XLOOKUP(A134&amp;B134&amp;C134,'Gross Profit &amp; EBITDA'!D:D,'Gross Profit &amp; EBITDA'!F:F,"",0,1)*E134</f>
        <v>481</v>
      </c>
    </row>
    <row r="135" spans="1:7" x14ac:dyDescent="0.2">
      <c r="A135" s="29" t="s">
        <v>15</v>
      </c>
      <c r="B135" s="29">
        <v>2020</v>
      </c>
      <c r="C135" s="29" t="s">
        <v>5</v>
      </c>
      <c r="D135" s="29" t="s">
        <v>6</v>
      </c>
      <c r="E135">
        <f>INDEX('Financials Canada'!$E$7:$N$19,MATCH('Input Data'!D135&amp;C135,'Financials Canada'!$A$7:$A$19,0),MATCH('Input Data'!B135,'Financials Canada'!$E$1:$N$1,0))</f>
        <v>8045</v>
      </c>
      <c r="F135" s="30">
        <f>_xlfn.XLOOKUP(A135&amp;B135&amp;C135,'Gross Profit &amp; EBITDA'!D:D,'Gross Profit &amp; EBITDA'!E:E,"",0,1)*E135</f>
        <v>5631.5000000000009</v>
      </c>
      <c r="G135" s="30">
        <f>_xlfn.XLOOKUP(A135&amp;B135&amp;C135,'Gross Profit &amp; EBITDA'!D:D,'Gross Profit &amp; EBITDA'!F:F,"",0,1)*E135</f>
        <v>1609</v>
      </c>
    </row>
    <row r="136" spans="1:7" x14ac:dyDescent="0.2">
      <c r="A136" s="29" t="s">
        <v>15</v>
      </c>
      <c r="B136" s="29">
        <v>2020</v>
      </c>
      <c r="C136" s="29" t="s">
        <v>8</v>
      </c>
      <c r="D136" s="29" t="s">
        <v>4</v>
      </c>
      <c r="E136">
        <f>INDEX('Financials Canada'!$E$7:$N$19,MATCH('Input Data'!D136&amp;C136,'Financials Canada'!$A$7:$A$19,0),MATCH('Input Data'!B136,'Financials Canada'!$E$1:$N$1,0))</f>
        <v>1625</v>
      </c>
      <c r="F136" s="30">
        <f>_xlfn.XLOOKUP(A136&amp;B136&amp;C136,'Gross Profit &amp; EBITDA'!D:D,'Gross Profit &amp; EBITDA'!E:E,"",0,1)*E136</f>
        <v>975.00000000000011</v>
      </c>
      <c r="G136" s="30">
        <f>_xlfn.XLOOKUP(A136&amp;B136&amp;C136,'Gross Profit &amp; EBITDA'!D:D,'Gross Profit &amp; EBITDA'!F:F,"",0,1)*E136</f>
        <v>162.5</v>
      </c>
    </row>
    <row r="137" spans="1:7" x14ac:dyDescent="0.2">
      <c r="A137" s="29" t="s">
        <v>15</v>
      </c>
      <c r="B137" s="29">
        <v>2020</v>
      </c>
      <c r="C137" s="29" t="s">
        <v>8</v>
      </c>
      <c r="D137" s="29" t="s">
        <v>6</v>
      </c>
      <c r="E137">
        <f>INDEX('Financials Canada'!$E$7:$N$19,MATCH('Input Data'!D137&amp;C137,'Financials Canada'!$A$7:$A$19,0),MATCH('Input Data'!B137,'Financials Canada'!$E$1:$N$1,0))</f>
        <v>2912</v>
      </c>
      <c r="F137" s="30">
        <f>_xlfn.XLOOKUP(A137&amp;B137&amp;C137,'Gross Profit &amp; EBITDA'!D:D,'Gross Profit &amp; EBITDA'!E:E,"",0,1)*E137</f>
        <v>1747.2000000000003</v>
      </c>
      <c r="G137" s="30">
        <f>_xlfn.XLOOKUP(A137&amp;B137&amp;C137,'Gross Profit &amp; EBITDA'!D:D,'Gross Profit &amp; EBITDA'!F:F,"",0,1)*E137</f>
        <v>291.2</v>
      </c>
    </row>
    <row r="138" spans="1:7" x14ac:dyDescent="0.2">
      <c r="A138" s="29" t="s">
        <v>15</v>
      </c>
      <c r="B138" s="29">
        <v>2020</v>
      </c>
      <c r="C138" s="29" t="s">
        <v>9</v>
      </c>
      <c r="D138" s="29" t="s">
        <v>4</v>
      </c>
      <c r="E138">
        <f>INDEX('Financials Canada'!$E$7:$N$19,MATCH('Input Data'!D138&amp;C138,'Financials Canada'!$A$7:$A$19,0),MATCH('Input Data'!B138,'Financials Canada'!$E$1:$N$1,0))</f>
        <v>1690</v>
      </c>
      <c r="F138" s="30">
        <f>_xlfn.XLOOKUP(A138&amp;B138&amp;C138,'Gross Profit &amp; EBITDA'!D:D,'Gross Profit &amp; EBITDA'!E:E,"",0,1)*E138</f>
        <v>1183</v>
      </c>
      <c r="G138" s="30">
        <f>_xlfn.XLOOKUP(A138&amp;B138&amp;C138,'Gross Profit &amp; EBITDA'!D:D,'Gross Profit &amp; EBITDA'!F:F,"",0,1)*E138</f>
        <v>338</v>
      </c>
    </row>
    <row r="139" spans="1:7" x14ac:dyDescent="0.2">
      <c r="A139" s="29" t="s">
        <v>15</v>
      </c>
      <c r="B139" s="29">
        <v>2020</v>
      </c>
      <c r="C139" s="29" t="s">
        <v>9</v>
      </c>
      <c r="D139" s="29" t="s">
        <v>6</v>
      </c>
      <c r="E139">
        <f>INDEX('Financials Canada'!$E$7:$N$19,MATCH('Input Data'!D139&amp;C139,'Financials Canada'!$A$7:$A$19,0),MATCH('Input Data'!B139,'Financials Canada'!$E$1:$N$1,0))</f>
        <v>6203</v>
      </c>
      <c r="F139" s="30">
        <f>_xlfn.XLOOKUP(A139&amp;B139&amp;C139,'Gross Profit &amp; EBITDA'!D:D,'Gross Profit &amp; EBITDA'!E:E,"",0,1)*E139</f>
        <v>4342.1000000000004</v>
      </c>
      <c r="G139" s="30">
        <f>_xlfn.XLOOKUP(A139&amp;B139&amp;C139,'Gross Profit &amp; EBITDA'!D:D,'Gross Profit &amp; EBITDA'!F:F,"",0,1)*E139</f>
        <v>1240.6000000000001</v>
      </c>
    </row>
    <row r="140" spans="1:7" x14ac:dyDescent="0.2">
      <c r="A140" s="29" t="s">
        <v>15</v>
      </c>
      <c r="B140" s="29">
        <v>2021</v>
      </c>
      <c r="C140" s="29" t="s">
        <v>5</v>
      </c>
      <c r="D140" s="29" t="s">
        <v>4</v>
      </c>
      <c r="E140">
        <f>INDEX('Financials Canada'!$E$7:$N$19,MATCH('Input Data'!D140&amp;C140,'Financials Canada'!$A$7:$A$19,0),MATCH('Input Data'!B140,'Financials Canada'!$E$1:$N$1,0))</f>
        <v>2490</v>
      </c>
      <c r="F140" s="30">
        <f>_xlfn.XLOOKUP(A140&amp;B140&amp;C140,'Gross Profit &amp; EBITDA'!D:D,'Gross Profit &amp; EBITDA'!E:E,"",0,1)*E140</f>
        <v>1494.0000000000002</v>
      </c>
      <c r="G140" s="30">
        <f>_xlfn.XLOOKUP(A140&amp;B140&amp;C140,'Gross Profit &amp; EBITDA'!D:D,'Gross Profit &amp; EBITDA'!F:F,"",0,1)*E140</f>
        <v>498</v>
      </c>
    </row>
    <row r="141" spans="1:7" x14ac:dyDescent="0.2">
      <c r="A141" s="29" t="s">
        <v>15</v>
      </c>
      <c r="B141" s="29">
        <v>2021</v>
      </c>
      <c r="C141" s="29" t="s">
        <v>5</v>
      </c>
      <c r="D141" s="29" t="s">
        <v>6</v>
      </c>
      <c r="E141">
        <f>INDEX('Financials Canada'!$E$7:$N$19,MATCH('Input Data'!D141&amp;C141,'Financials Canada'!$A$7:$A$19,0),MATCH('Input Data'!B141,'Financials Canada'!$E$1:$N$1,0))</f>
        <v>5075</v>
      </c>
      <c r="F141" s="30">
        <f>_xlfn.XLOOKUP(A141&amp;B141&amp;C141,'Gross Profit &amp; EBITDA'!D:D,'Gross Profit &amp; EBITDA'!E:E,"",0,1)*E141</f>
        <v>3045.0000000000005</v>
      </c>
      <c r="G141" s="30">
        <f>_xlfn.XLOOKUP(A141&amp;B141&amp;C141,'Gross Profit &amp; EBITDA'!D:D,'Gross Profit &amp; EBITDA'!F:F,"",0,1)*E141</f>
        <v>1015</v>
      </c>
    </row>
    <row r="142" spans="1:7" x14ac:dyDescent="0.2">
      <c r="A142" s="29" t="s">
        <v>15</v>
      </c>
      <c r="B142" s="29">
        <v>2021</v>
      </c>
      <c r="C142" s="29" t="s">
        <v>8</v>
      </c>
      <c r="D142" s="29" t="s">
        <v>4</v>
      </c>
      <c r="E142">
        <f>INDEX('Financials Canada'!$E$7:$N$19,MATCH('Input Data'!D142&amp;C142,'Financials Canada'!$A$7:$A$19,0),MATCH('Input Data'!B142,'Financials Canada'!$E$1:$N$1,0))</f>
        <v>1710</v>
      </c>
      <c r="F142" s="30">
        <f>_xlfn.XLOOKUP(A142&amp;B142&amp;C142,'Gross Profit &amp; EBITDA'!D:D,'Gross Profit &amp; EBITDA'!E:E,"",0,1)*E142</f>
        <v>855</v>
      </c>
      <c r="G142" s="30">
        <f>_xlfn.XLOOKUP(A142&amp;B142&amp;C142,'Gross Profit &amp; EBITDA'!D:D,'Gross Profit &amp; EBITDA'!F:F,"",0,1)*E142</f>
        <v>342</v>
      </c>
    </row>
    <row r="143" spans="1:7" x14ac:dyDescent="0.2">
      <c r="A143" s="29" t="s">
        <v>15</v>
      </c>
      <c r="B143" s="29">
        <v>2021</v>
      </c>
      <c r="C143" s="29" t="s">
        <v>8</v>
      </c>
      <c r="D143" s="29" t="s">
        <v>6</v>
      </c>
      <c r="E143">
        <f>INDEX('Financials Canada'!$E$7:$N$19,MATCH('Input Data'!D143&amp;C143,'Financials Canada'!$A$7:$A$19,0),MATCH('Input Data'!B143,'Financials Canada'!$E$1:$N$1,0))</f>
        <v>4586</v>
      </c>
      <c r="F143" s="30">
        <f>_xlfn.XLOOKUP(A143&amp;B143&amp;C143,'Gross Profit &amp; EBITDA'!D:D,'Gross Profit &amp; EBITDA'!E:E,"",0,1)*E143</f>
        <v>2293</v>
      </c>
      <c r="G143" s="30">
        <f>_xlfn.XLOOKUP(A143&amp;B143&amp;C143,'Gross Profit &amp; EBITDA'!D:D,'Gross Profit &amp; EBITDA'!F:F,"",0,1)*E143</f>
        <v>917.2</v>
      </c>
    </row>
    <row r="144" spans="1:7" x14ac:dyDescent="0.2">
      <c r="A144" s="29" t="s">
        <v>15</v>
      </c>
      <c r="B144" s="29">
        <v>2021</v>
      </c>
      <c r="C144" s="29" t="s">
        <v>9</v>
      </c>
      <c r="D144" s="29" t="s">
        <v>4</v>
      </c>
      <c r="E144">
        <f>INDEX('Financials Canada'!$E$7:$N$19,MATCH('Input Data'!D144&amp;C144,'Financials Canada'!$A$7:$A$19,0),MATCH('Input Data'!B144,'Financials Canada'!$E$1:$N$1,0))</f>
        <v>1626</v>
      </c>
      <c r="F144" s="30">
        <f>_xlfn.XLOOKUP(A144&amp;B144&amp;C144,'Gross Profit &amp; EBITDA'!D:D,'Gross Profit &amp; EBITDA'!E:E,"",0,1)*E144</f>
        <v>1300.8000000000002</v>
      </c>
      <c r="G144" s="30">
        <f>_xlfn.XLOOKUP(A144&amp;B144&amp;C144,'Gross Profit &amp; EBITDA'!D:D,'Gross Profit &amp; EBITDA'!F:F,"",0,1)*E144</f>
        <v>325.20000000000005</v>
      </c>
    </row>
    <row r="145" spans="1:7" x14ac:dyDescent="0.2">
      <c r="A145" s="29" t="s">
        <v>15</v>
      </c>
      <c r="B145" s="29">
        <v>2021</v>
      </c>
      <c r="C145" s="29" t="s">
        <v>9</v>
      </c>
      <c r="D145" s="29" t="s">
        <v>6</v>
      </c>
      <c r="E145">
        <f>INDEX('Financials Canada'!$E$7:$N$19,MATCH('Input Data'!D145&amp;C145,'Financials Canada'!$A$7:$A$19,0),MATCH('Input Data'!B145,'Financials Canada'!$E$1:$N$1,0))</f>
        <v>1126</v>
      </c>
      <c r="F145" s="30">
        <f>_xlfn.XLOOKUP(A145&amp;B145&amp;C145,'Gross Profit &amp; EBITDA'!D:D,'Gross Profit &amp; EBITDA'!E:E,"",0,1)*E145</f>
        <v>900.80000000000007</v>
      </c>
      <c r="G145" s="30">
        <f>_xlfn.XLOOKUP(A145&amp;B145&amp;C145,'Gross Profit &amp; EBITDA'!D:D,'Gross Profit &amp; EBITDA'!F:F,"",0,1)*E145</f>
        <v>225.20000000000002</v>
      </c>
    </row>
    <row r="146" spans="1:7" x14ac:dyDescent="0.2">
      <c r="A146" s="29" t="s">
        <v>15</v>
      </c>
      <c r="B146" s="29">
        <v>2022</v>
      </c>
      <c r="C146" s="29" t="s">
        <v>5</v>
      </c>
      <c r="D146" s="29" t="s">
        <v>4</v>
      </c>
      <c r="E146">
        <f>INDEX('Financials Canada'!$E$7:$N$19,MATCH('Input Data'!D146&amp;C146,'Financials Canada'!$A$7:$A$19,0),MATCH('Input Data'!B146,'Financials Canada'!$E$1:$N$1,0))</f>
        <v>3789</v>
      </c>
      <c r="F146" s="30">
        <f>_xlfn.XLOOKUP(A146&amp;B146&amp;C146,'Gross Profit &amp; EBITDA'!D:D,'Gross Profit &amp; EBITDA'!E:E,"",0,1)*E146</f>
        <v>2652.3</v>
      </c>
      <c r="G146" s="30">
        <f>_xlfn.XLOOKUP(A146&amp;B146&amp;C146,'Gross Profit &amp; EBITDA'!D:D,'Gross Profit &amp; EBITDA'!F:F,"",0,1)*E146</f>
        <v>757.80000000000007</v>
      </c>
    </row>
    <row r="147" spans="1:7" x14ac:dyDescent="0.2">
      <c r="A147" s="29" t="s">
        <v>15</v>
      </c>
      <c r="B147" s="29">
        <v>2022</v>
      </c>
      <c r="C147" s="29" t="s">
        <v>5</v>
      </c>
      <c r="D147" s="29" t="s">
        <v>6</v>
      </c>
      <c r="E147">
        <f>INDEX('Financials Canada'!$E$7:$N$19,MATCH('Input Data'!D147&amp;C147,'Financials Canada'!$A$7:$A$19,0),MATCH('Input Data'!B147,'Financials Canada'!$E$1:$N$1,0))</f>
        <v>7242</v>
      </c>
      <c r="F147" s="30">
        <f>_xlfn.XLOOKUP(A147&amp;B147&amp;C147,'Gross Profit &amp; EBITDA'!D:D,'Gross Profit &amp; EBITDA'!E:E,"",0,1)*E147</f>
        <v>5069.4000000000005</v>
      </c>
      <c r="G147" s="30">
        <f>_xlfn.XLOOKUP(A147&amp;B147&amp;C147,'Gross Profit &amp; EBITDA'!D:D,'Gross Profit &amp; EBITDA'!F:F,"",0,1)*E147</f>
        <v>1448.4</v>
      </c>
    </row>
    <row r="148" spans="1:7" x14ac:dyDescent="0.2">
      <c r="A148" s="29" t="s">
        <v>15</v>
      </c>
      <c r="B148" s="29">
        <v>2022</v>
      </c>
      <c r="C148" s="29" t="s">
        <v>8</v>
      </c>
      <c r="D148" s="29" t="s">
        <v>4</v>
      </c>
      <c r="E148">
        <f>INDEX('Financials Canada'!$E$7:$N$19,MATCH('Input Data'!D148&amp;C148,'Financials Canada'!$A$7:$A$19,0),MATCH('Input Data'!B148,'Financials Canada'!$E$1:$N$1,0))</f>
        <v>1738</v>
      </c>
      <c r="F148" s="30">
        <f>_xlfn.XLOOKUP(A148&amp;B148&amp;C148,'Gross Profit &amp; EBITDA'!D:D,'Gross Profit &amp; EBITDA'!E:E,"",0,1)*E148</f>
        <v>869</v>
      </c>
      <c r="G148" s="30">
        <f>_xlfn.XLOOKUP(A148&amp;B148&amp;C148,'Gross Profit &amp; EBITDA'!D:D,'Gross Profit &amp; EBITDA'!F:F,"",0,1)*E148</f>
        <v>347.6</v>
      </c>
    </row>
    <row r="149" spans="1:7" x14ac:dyDescent="0.2">
      <c r="A149" s="29" t="s">
        <v>15</v>
      </c>
      <c r="B149" s="29">
        <v>2022</v>
      </c>
      <c r="C149" s="29" t="s">
        <v>8</v>
      </c>
      <c r="D149" s="29" t="s">
        <v>6</v>
      </c>
      <c r="E149">
        <f>INDEX('Financials Canada'!$E$7:$N$19,MATCH('Input Data'!D149&amp;C149,'Financials Canada'!$A$7:$A$19,0),MATCH('Input Data'!B149,'Financials Canada'!$E$1:$N$1,0))</f>
        <v>2666</v>
      </c>
      <c r="F149" s="30">
        <f>_xlfn.XLOOKUP(A149&amp;B149&amp;C149,'Gross Profit &amp; EBITDA'!D:D,'Gross Profit &amp; EBITDA'!E:E,"",0,1)*E149</f>
        <v>1333</v>
      </c>
      <c r="G149" s="30">
        <f>_xlfn.XLOOKUP(A149&amp;B149&amp;C149,'Gross Profit &amp; EBITDA'!D:D,'Gross Profit &amp; EBITDA'!F:F,"",0,1)*E149</f>
        <v>533.20000000000005</v>
      </c>
    </row>
    <row r="150" spans="1:7" x14ac:dyDescent="0.2">
      <c r="A150" s="29" t="s">
        <v>15</v>
      </c>
      <c r="B150" s="29">
        <v>2022</v>
      </c>
      <c r="C150" s="29" t="s">
        <v>9</v>
      </c>
      <c r="D150" s="29" t="s">
        <v>4</v>
      </c>
      <c r="E150">
        <f>INDEX('Financials Canada'!$E$7:$N$19,MATCH('Input Data'!D150&amp;C150,'Financials Canada'!$A$7:$A$19,0),MATCH('Input Data'!B150,'Financials Canada'!$E$1:$N$1,0))</f>
        <v>3515</v>
      </c>
      <c r="F150" s="30">
        <f>_xlfn.XLOOKUP(A150&amp;B150&amp;C150,'Gross Profit &amp; EBITDA'!D:D,'Gross Profit &amp; EBITDA'!E:E,"",0,1)*E150</f>
        <v>1757.5</v>
      </c>
      <c r="G150" s="30">
        <f>_xlfn.XLOOKUP(A150&amp;B150&amp;C150,'Gross Profit &amp; EBITDA'!D:D,'Gross Profit &amp; EBITDA'!F:F,"",0,1)*E150</f>
        <v>351.5</v>
      </c>
    </row>
    <row r="151" spans="1:7" x14ac:dyDescent="0.2">
      <c r="A151" s="29" t="s">
        <v>15</v>
      </c>
      <c r="B151" s="29">
        <v>2022</v>
      </c>
      <c r="C151" s="29" t="s">
        <v>9</v>
      </c>
      <c r="D151" s="29" t="s">
        <v>6</v>
      </c>
      <c r="E151">
        <f>INDEX('Financials Canada'!$E$7:$N$19,MATCH('Input Data'!D151&amp;C151,'Financials Canada'!$A$7:$A$19,0),MATCH('Input Data'!B151,'Financials Canada'!$E$1:$N$1,0))</f>
        <v>4690</v>
      </c>
      <c r="F151" s="30">
        <f>_xlfn.XLOOKUP(A151&amp;B151&amp;C151,'Gross Profit &amp; EBITDA'!D:D,'Gross Profit &amp; EBITDA'!E:E,"",0,1)*E151</f>
        <v>2345</v>
      </c>
      <c r="G151" s="30">
        <f>_xlfn.XLOOKUP(A151&amp;B151&amp;C151,'Gross Profit &amp; EBITDA'!D:D,'Gross Profit &amp; EBITDA'!F:F,"",0,1)*E151</f>
        <v>469</v>
      </c>
    </row>
    <row r="152" spans="1:7" x14ac:dyDescent="0.2">
      <c r="A152" s="29" t="s">
        <v>15</v>
      </c>
      <c r="B152" s="29">
        <v>2023</v>
      </c>
      <c r="C152" s="29" t="s">
        <v>5</v>
      </c>
      <c r="D152" s="29" t="s">
        <v>4</v>
      </c>
      <c r="E152">
        <f>INDEX('Financials Canada'!$E$7:$N$19,MATCH('Input Data'!D152&amp;C152,'Financials Canada'!$A$7:$A$19,0),MATCH('Input Data'!B152,'Financials Canada'!$E$1:$N$1,0))</f>
        <v>2298</v>
      </c>
      <c r="F152" s="30">
        <f>_xlfn.XLOOKUP(A152&amp;B152&amp;C152,'Gross Profit &amp; EBITDA'!D:D,'Gross Profit &amp; EBITDA'!E:E,"",0,1)*E152</f>
        <v>1608.6000000000001</v>
      </c>
      <c r="G152" s="30">
        <f>_xlfn.XLOOKUP(A152&amp;B152&amp;C152,'Gross Profit &amp; EBITDA'!D:D,'Gross Profit &amp; EBITDA'!F:F,"",0,1)*E152</f>
        <v>459.6</v>
      </c>
    </row>
    <row r="153" spans="1:7" x14ac:dyDescent="0.2">
      <c r="A153" s="29" t="s">
        <v>15</v>
      </c>
      <c r="B153" s="29">
        <v>2023</v>
      </c>
      <c r="C153" s="29" t="s">
        <v>5</v>
      </c>
      <c r="D153" s="29" t="s">
        <v>6</v>
      </c>
      <c r="E153">
        <f>INDEX('Financials Canada'!$E$7:$N$19,MATCH('Input Data'!D153&amp;C153,'Financials Canada'!$A$7:$A$19,0),MATCH('Input Data'!B153,'Financials Canada'!$E$1:$N$1,0))</f>
        <v>9330</v>
      </c>
      <c r="F153" s="30">
        <f>_xlfn.XLOOKUP(A153&amp;B153&amp;C153,'Gross Profit &amp; EBITDA'!D:D,'Gross Profit &amp; EBITDA'!E:E,"",0,1)*E153</f>
        <v>6531.0000000000009</v>
      </c>
      <c r="G153" s="30">
        <f>_xlfn.XLOOKUP(A153&amp;B153&amp;C153,'Gross Profit &amp; EBITDA'!D:D,'Gross Profit &amp; EBITDA'!F:F,"",0,1)*E153</f>
        <v>1866</v>
      </c>
    </row>
    <row r="154" spans="1:7" x14ac:dyDescent="0.2">
      <c r="A154" s="29" t="s">
        <v>15</v>
      </c>
      <c r="B154" s="29">
        <v>2023</v>
      </c>
      <c r="C154" s="29" t="s">
        <v>8</v>
      </c>
      <c r="D154" s="29" t="s">
        <v>4</v>
      </c>
      <c r="E154">
        <f>INDEX('Financials Canada'!$E$7:$N$19,MATCH('Input Data'!D154&amp;C154,'Financials Canada'!$A$7:$A$19,0),MATCH('Input Data'!B154,'Financials Canada'!$E$1:$N$1,0))</f>
        <v>2471</v>
      </c>
      <c r="F154" s="30">
        <f>_xlfn.XLOOKUP(A154&amp;B154&amp;C154,'Gross Profit &amp; EBITDA'!D:D,'Gross Profit &amp; EBITDA'!E:E,"",0,1)*E154</f>
        <v>1729.7000000000003</v>
      </c>
      <c r="G154" s="30">
        <f>_xlfn.XLOOKUP(A154&amp;B154&amp;C154,'Gross Profit &amp; EBITDA'!D:D,'Gross Profit &amp; EBITDA'!F:F,"",0,1)*E154</f>
        <v>494.20000000000005</v>
      </c>
    </row>
    <row r="155" spans="1:7" x14ac:dyDescent="0.2">
      <c r="A155" s="29" t="s">
        <v>15</v>
      </c>
      <c r="B155" s="29">
        <v>2023</v>
      </c>
      <c r="C155" s="29" t="s">
        <v>8</v>
      </c>
      <c r="D155" s="29" t="s">
        <v>6</v>
      </c>
      <c r="E155">
        <f>INDEX('Financials Canada'!$E$7:$N$19,MATCH('Input Data'!D155&amp;C155,'Financials Canada'!$A$7:$A$19,0),MATCH('Input Data'!B155,'Financials Canada'!$E$1:$N$1,0))</f>
        <v>4027</v>
      </c>
      <c r="F155" s="30">
        <f>_xlfn.XLOOKUP(A155&amp;B155&amp;C155,'Gross Profit &amp; EBITDA'!D:D,'Gross Profit &amp; EBITDA'!E:E,"",0,1)*E155</f>
        <v>2818.9</v>
      </c>
      <c r="G155" s="30">
        <f>_xlfn.XLOOKUP(A155&amp;B155&amp;C155,'Gross Profit &amp; EBITDA'!D:D,'Gross Profit &amp; EBITDA'!F:F,"",0,1)*E155</f>
        <v>805.40000000000009</v>
      </c>
    </row>
    <row r="156" spans="1:7" x14ac:dyDescent="0.2">
      <c r="A156" s="29" t="s">
        <v>15</v>
      </c>
      <c r="B156" s="29">
        <v>2023</v>
      </c>
      <c r="C156" s="29" t="s">
        <v>9</v>
      </c>
      <c r="D156" s="29" t="s">
        <v>4</v>
      </c>
      <c r="E156">
        <f>INDEX('Financials Canada'!$E$7:$N$19,MATCH('Input Data'!D156&amp;C156,'Financials Canada'!$A$7:$A$19,0),MATCH('Input Data'!B156,'Financials Canada'!$E$1:$N$1,0))</f>
        <v>2532</v>
      </c>
      <c r="F156" s="30">
        <f>_xlfn.XLOOKUP(A156&amp;B156&amp;C156,'Gross Profit &amp; EBITDA'!D:D,'Gross Profit &amp; EBITDA'!E:E,"",0,1)*E156</f>
        <v>2025.6000000000001</v>
      </c>
      <c r="G156" s="30">
        <f>_xlfn.XLOOKUP(A156&amp;B156&amp;C156,'Gross Profit &amp; EBITDA'!D:D,'Gross Profit &amp; EBITDA'!F:F,"",0,1)*E156</f>
        <v>253.20000000000002</v>
      </c>
    </row>
    <row r="157" spans="1:7" x14ac:dyDescent="0.2">
      <c r="A157" s="29" t="s">
        <v>15</v>
      </c>
      <c r="B157" s="29">
        <v>2023</v>
      </c>
      <c r="C157" s="29" t="s">
        <v>9</v>
      </c>
      <c r="D157" s="29" t="s">
        <v>6</v>
      </c>
      <c r="E157">
        <f>INDEX('Financials Canada'!$E$7:$N$19,MATCH('Input Data'!D157&amp;C157,'Financials Canada'!$A$7:$A$19,0),MATCH('Input Data'!B157,'Financials Canada'!$E$1:$N$1,0))</f>
        <v>5311</v>
      </c>
      <c r="F157" s="30">
        <f>_xlfn.XLOOKUP(A157&amp;B157&amp;C157,'Gross Profit &amp; EBITDA'!D:D,'Gross Profit &amp; EBITDA'!E:E,"",0,1)*E157</f>
        <v>4248.8</v>
      </c>
      <c r="G157" s="30">
        <f>_xlfn.XLOOKUP(A157&amp;B157&amp;C157,'Gross Profit &amp; EBITDA'!D:D,'Gross Profit &amp; EBITDA'!F:F,"",0,1)*E157</f>
        <v>531.1</v>
      </c>
    </row>
    <row r="158" spans="1:7" x14ac:dyDescent="0.2">
      <c r="A158" s="29" t="s">
        <v>15</v>
      </c>
      <c r="B158" s="29">
        <v>2024</v>
      </c>
      <c r="C158" s="29" t="s">
        <v>5</v>
      </c>
      <c r="D158" s="29" t="s">
        <v>4</v>
      </c>
      <c r="E158">
        <f>INDEX('Financials Canada'!$E$7:$N$19,MATCH('Input Data'!D158&amp;C158,'Financials Canada'!$A$7:$A$19,0),MATCH('Input Data'!B158,'Financials Canada'!$E$1:$N$1,0))</f>
        <v>4440</v>
      </c>
      <c r="F158" s="30">
        <f>_xlfn.XLOOKUP(A158&amp;B158&amp;C158,'Gross Profit &amp; EBITDA'!D:D,'Gross Profit &amp; EBITDA'!E:E,"",0,1)*E158</f>
        <v>3108.0000000000005</v>
      </c>
      <c r="G158" s="30">
        <f>_xlfn.XLOOKUP(A158&amp;B158&amp;C158,'Gross Profit &amp; EBITDA'!D:D,'Gross Profit &amp; EBITDA'!F:F,"",0,1)*E158</f>
        <v>444</v>
      </c>
    </row>
    <row r="159" spans="1:7" x14ac:dyDescent="0.2">
      <c r="A159" s="29" t="s">
        <v>15</v>
      </c>
      <c r="B159" s="29">
        <v>2024</v>
      </c>
      <c r="C159" s="29" t="s">
        <v>5</v>
      </c>
      <c r="D159" s="29" t="s">
        <v>6</v>
      </c>
      <c r="E159">
        <f>INDEX('Financials Canada'!$E$7:$N$19,MATCH('Input Data'!D159&amp;C159,'Financials Canada'!$A$7:$A$19,0),MATCH('Input Data'!B159,'Financials Canada'!$E$1:$N$1,0))</f>
        <v>6979</v>
      </c>
      <c r="F159" s="30">
        <f>_xlfn.XLOOKUP(A159&amp;B159&amp;C159,'Gross Profit &amp; EBITDA'!D:D,'Gross Profit &amp; EBITDA'!E:E,"",0,1)*E159</f>
        <v>4885.3</v>
      </c>
      <c r="G159" s="30">
        <f>_xlfn.XLOOKUP(A159&amp;B159&amp;C159,'Gross Profit &amp; EBITDA'!D:D,'Gross Profit &amp; EBITDA'!F:F,"",0,1)*E159</f>
        <v>697.90000000000009</v>
      </c>
    </row>
    <row r="160" spans="1:7" x14ac:dyDescent="0.2">
      <c r="A160" s="29" t="s">
        <v>15</v>
      </c>
      <c r="B160" s="29">
        <v>2024</v>
      </c>
      <c r="C160" s="29" t="s">
        <v>8</v>
      </c>
      <c r="D160" s="29" t="s">
        <v>4</v>
      </c>
      <c r="E160">
        <f>INDEX('Financials Canada'!$E$7:$N$19,MATCH('Input Data'!D160&amp;C160,'Financials Canada'!$A$7:$A$19,0),MATCH('Input Data'!B160,'Financials Canada'!$E$1:$N$1,0))</f>
        <v>1689</v>
      </c>
      <c r="F160" s="30">
        <f>_xlfn.XLOOKUP(A160&amp;B160&amp;C160,'Gross Profit &amp; EBITDA'!D:D,'Gross Profit &amp; EBITDA'!E:E,"",0,1)*E160</f>
        <v>844.5</v>
      </c>
      <c r="G160" s="30">
        <f>_xlfn.XLOOKUP(A160&amp;B160&amp;C160,'Gross Profit &amp; EBITDA'!D:D,'Gross Profit &amp; EBITDA'!F:F,"",0,1)*E160</f>
        <v>337.8</v>
      </c>
    </row>
    <row r="161" spans="1:7" x14ac:dyDescent="0.2">
      <c r="A161" s="29" t="s">
        <v>15</v>
      </c>
      <c r="B161" s="29">
        <v>2024</v>
      </c>
      <c r="C161" s="29" t="s">
        <v>8</v>
      </c>
      <c r="D161" s="29" t="s">
        <v>6</v>
      </c>
      <c r="E161">
        <f>INDEX('Financials Canada'!$E$7:$N$19,MATCH('Input Data'!D161&amp;C161,'Financials Canada'!$A$7:$A$19,0),MATCH('Input Data'!B161,'Financials Canada'!$E$1:$N$1,0))</f>
        <v>2778</v>
      </c>
      <c r="F161" s="30">
        <f>_xlfn.XLOOKUP(A161&amp;B161&amp;C161,'Gross Profit &amp; EBITDA'!D:D,'Gross Profit &amp; EBITDA'!E:E,"",0,1)*E161</f>
        <v>1389</v>
      </c>
      <c r="G161" s="30">
        <f>_xlfn.XLOOKUP(A161&amp;B161&amp;C161,'Gross Profit &amp; EBITDA'!D:D,'Gross Profit &amp; EBITDA'!F:F,"",0,1)*E161</f>
        <v>555.6</v>
      </c>
    </row>
    <row r="162" spans="1:7" x14ac:dyDescent="0.2">
      <c r="A162" s="29" t="s">
        <v>15</v>
      </c>
      <c r="B162" s="29">
        <v>2024</v>
      </c>
      <c r="C162" s="29" t="s">
        <v>9</v>
      </c>
      <c r="D162" s="29" t="s">
        <v>4</v>
      </c>
      <c r="E162">
        <f>INDEX('Financials Canada'!$E$7:$N$19,MATCH('Input Data'!D162&amp;C162,'Financials Canada'!$A$7:$A$19,0),MATCH('Input Data'!B162,'Financials Canada'!$E$1:$N$1,0))</f>
        <v>1611</v>
      </c>
      <c r="F162" s="30">
        <f>_xlfn.XLOOKUP(A162&amp;B162&amp;C162,'Gross Profit &amp; EBITDA'!D:D,'Gross Profit &amp; EBITDA'!E:E,"",0,1)*E162</f>
        <v>805.5</v>
      </c>
      <c r="G162" s="30">
        <f>_xlfn.XLOOKUP(A162&amp;B162&amp;C162,'Gross Profit &amp; EBITDA'!D:D,'Gross Profit &amp; EBITDA'!F:F,"",0,1)*E162</f>
        <v>161.10000000000002</v>
      </c>
    </row>
    <row r="163" spans="1:7" x14ac:dyDescent="0.2">
      <c r="A163" s="29" t="s">
        <v>15</v>
      </c>
      <c r="B163" s="29">
        <v>2024</v>
      </c>
      <c r="C163" s="29" t="s">
        <v>9</v>
      </c>
      <c r="D163" s="29" t="s">
        <v>6</v>
      </c>
      <c r="E163">
        <f>INDEX('Financials Canada'!$E$7:$N$19,MATCH('Input Data'!D163&amp;C163,'Financials Canada'!$A$7:$A$19,0),MATCH('Input Data'!B163,'Financials Canada'!$E$1:$N$1,0))</f>
        <v>6528</v>
      </c>
      <c r="F163" s="30">
        <f>_xlfn.XLOOKUP(A163&amp;B163&amp;C163,'Gross Profit &amp; EBITDA'!D:D,'Gross Profit &amp; EBITDA'!E:E,"",0,1)*E163</f>
        <v>3264</v>
      </c>
      <c r="G163" s="30">
        <f>_xlfn.XLOOKUP(A163&amp;B163&amp;C163,'Gross Profit &amp; EBITDA'!D:D,'Gross Profit &amp; EBITDA'!F:F,"",0,1)*E163</f>
        <v>652.80000000000007</v>
      </c>
    </row>
    <row r="164" spans="1:7" x14ac:dyDescent="0.2">
      <c r="A164" s="29" t="s">
        <v>15</v>
      </c>
      <c r="B164" s="29">
        <v>2025</v>
      </c>
      <c r="C164" s="29" t="s">
        <v>5</v>
      </c>
      <c r="D164" s="29" t="s">
        <v>4</v>
      </c>
      <c r="E164">
        <f>INDEX('Financials Canada'!$E$7:$N$19,MATCH('Input Data'!D164&amp;C164,'Financials Canada'!$A$7:$A$19,0),MATCH('Input Data'!B164,'Financials Canada'!$E$1:$N$1,0))</f>
        <v>4901</v>
      </c>
      <c r="F164" s="30">
        <f>_xlfn.XLOOKUP(A164&amp;B164&amp;C164,'Gross Profit &amp; EBITDA'!D:D,'Gross Profit &amp; EBITDA'!E:E,"",0,1)*E164</f>
        <v>2450.5</v>
      </c>
      <c r="G164" s="30">
        <f>_xlfn.XLOOKUP(A164&amp;B164&amp;C164,'Gross Profit &amp; EBITDA'!D:D,'Gross Profit &amp; EBITDA'!F:F,"",0,1)*E164</f>
        <v>490.1</v>
      </c>
    </row>
    <row r="165" spans="1:7" x14ac:dyDescent="0.2">
      <c r="A165" s="29" t="s">
        <v>15</v>
      </c>
      <c r="B165" s="29">
        <v>2025</v>
      </c>
      <c r="C165" s="29" t="s">
        <v>5</v>
      </c>
      <c r="D165" s="29" t="s">
        <v>6</v>
      </c>
      <c r="E165">
        <f>INDEX('Financials Canada'!$E$7:$N$19,MATCH('Input Data'!D165&amp;C165,'Financials Canada'!$A$7:$A$19,0),MATCH('Input Data'!B165,'Financials Canada'!$E$1:$N$1,0))</f>
        <v>8809</v>
      </c>
      <c r="F165" s="30">
        <f>_xlfn.XLOOKUP(A165&amp;B165&amp;C165,'Gross Profit &amp; EBITDA'!D:D,'Gross Profit &amp; EBITDA'!E:E,"",0,1)*E165</f>
        <v>4404.5</v>
      </c>
      <c r="G165" s="30">
        <f>_xlfn.XLOOKUP(A165&amp;B165&amp;C165,'Gross Profit &amp; EBITDA'!D:D,'Gross Profit &amp; EBITDA'!F:F,"",0,1)*E165</f>
        <v>880.90000000000009</v>
      </c>
    </row>
    <row r="166" spans="1:7" x14ac:dyDescent="0.2">
      <c r="A166" s="29" t="s">
        <v>15</v>
      </c>
      <c r="B166" s="29">
        <v>2025</v>
      </c>
      <c r="C166" s="29" t="s">
        <v>8</v>
      </c>
      <c r="D166" s="29" t="s">
        <v>4</v>
      </c>
      <c r="E166">
        <f>INDEX('Financials Canada'!$E$7:$N$19,MATCH('Input Data'!D166&amp;C166,'Financials Canada'!$A$7:$A$19,0),MATCH('Input Data'!B166,'Financials Canada'!$E$1:$N$1,0))</f>
        <v>2300</v>
      </c>
      <c r="F166" s="30">
        <f>_xlfn.XLOOKUP(A166&amp;B166&amp;C166,'Gross Profit &amp; EBITDA'!D:D,'Gross Profit &amp; EBITDA'!E:E,"",0,1)*E166</f>
        <v>1150</v>
      </c>
      <c r="G166" s="30">
        <f>_xlfn.XLOOKUP(A166&amp;B166&amp;C166,'Gross Profit &amp; EBITDA'!D:D,'Gross Profit &amp; EBITDA'!F:F,"",0,1)*E166</f>
        <v>460</v>
      </c>
    </row>
    <row r="167" spans="1:7" x14ac:dyDescent="0.2">
      <c r="A167" s="29" t="s">
        <v>15</v>
      </c>
      <c r="B167" s="29">
        <v>2025</v>
      </c>
      <c r="C167" s="29" t="s">
        <v>8</v>
      </c>
      <c r="D167" s="29" t="s">
        <v>6</v>
      </c>
      <c r="E167">
        <f>INDEX('Financials Canada'!$E$7:$N$19,MATCH('Input Data'!D167&amp;C167,'Financials Canada'!$A$7:$A$19,0),MATCH('Input Data'!B167,'Financials Canada'!$E$1:$N$1,0))</f>
        <v>5369</v>
      </c>
      <c r="F167" s="30">
        <f>_xlfn.XLOOKUP(A167&amp;B167&amp;C167,'Gross Profit &amp; EBITDA'!D:D,'Gross Profit &amp; EBITDA'!E:E,"",0,1)*E167</f>
        <v>2684.5</v>
      </c>
      <c r="G167" s="30">
        <f>_xlfn.XLOOKUP(A167&amp;B167&amp;C167,'Gross Profit &amp; EBITDA'!D:D,'Gross Profit &amp; EBITDA'!F:F,"",0,1)*E167</f>
        <v>1073.8</v>
      </c>
    </row>
    <row r="168" spans="1:7" x14ac:dyDescent="0.2">
      <c r="A168" s="29" t="s">
        <v>15</v>
      </c>
      <c r="B168" s="29">
        <v>2025</v>
      </c>
      <c r="C168" s="29" t="s">
        <v>9</v>
      </c>
      <c r="D168" s="29" t="s">
        <v>4</v>
      </c>
      <c r="E168">
        <f>INDEX('Financials Canada'!$E$7:$N$19,MATCH('Input Data'!D168&amp;C168,'Financials Canada'!$A$7:$A$19,0),MATCH('Input Data'!B168,'Financials Canada'!$E$1:$N$1,0))</f>
        <v>455</v>
      </c>
      <c r="F168" s="30">
        <f>_xlfn.XLOOKUP(A168&amp;B168&amp;C168,'Gross Profit &amp; EBITDA'!D:D,'Gross Profit &amp; EBITDA'!E:E,"",0,1)*E168</f>
        <v>227.5</v>
      </c>
      <c r="G168" s="30">
        <f>_xlfn.XLOOKUP(A168&amp;B168&amp;C168,'Gross Profit &amp; EBITDA'!D:D,'Gross Profit &amp; EBITDA'!F:F,"",0,1)*E168</f>
        <v>91</v>
      </c>
    </row>
    <row r="169" spans="1:7" x14ac:dyDescent="0.2">
      <c r="A169" s="29" t="s">
        <v>15</v>
      </c>
      <c r="B169" s="29">
        <v>2025</v>
      </c>
      <c r="C169" s="29" t="s">
        <v>9</v>
      </c>
      <c r="D169" s="29" t="s">
        <v>6</v>
      </c>
      <c r="E169">
        <f>INDEX('Financials Canada'!$E$7:$N$19,MATCH('Input Data'!D169&amp;C169,'Financials Canada'!$A$7:$A$19,0),MATCH('Input Data'!B169,'Financials Canada'!$E$1:$N$1,0))</f>
        <v>7646</v>
      </c>
      <c r="F169" s="30">
        <f>_xlfn.XLOOKUP(A169&amp;B169&amp;C169,'Gross Profit &amp; EBITDA'!D:D,'Gross Profit &amp; EBITDA'!E:E,"",0,1)*E169</f>
        <v>3823</v>
      </c>
      <c r="G169" s="30">
        <f>_xlfn.XLOOKUP(A169&amp;B169&amp;C169,'Gross Profit &amp; EBITDA'!D:D,'Gross Profit &amp; EBITDA'!F:F,"",0,1)*E169</f>
        <v>1529.2</v>
      </c>
    </row>
    <row r="170" spans="1:7" x14ac:dyDescent="0.2">
      <c r="A170" s="29" t="s">
        <v>15</v>
      </c>
      <c r="B170" s="29">
        <v>2026</v>
      </c>
      <c r="C170" s="29" t="s">
        <v>5</v>
      </c>
      <c r="D170" s="29" t="s">
        <v>4</v>
      </c>
      <c r="E170">
        <f>INDEX('Financials Canada'!$E$7:$N$19,MATCH('Input Data'!D170&amp;C170,'Financials Canada'!$A$7:$A$19,0),MATCH('Input Data'!B170,'Financials Canada'!$E$1:$N$1,0))</f>
        <v>3828</v>
      </c>
      <c r="F170" s="30">
        <f>_xlfn.XLOOKUP(A170&amp;B170&amp;C170,'Gross Profit &amp; EBITDA'!D:D,'Gross Profit &amp; EBITDA'!E:E,"",0,1)*E170</f>
        <v>2296.8000000000002</v>
      </c>
      <c r="G170" s="30">
        <f>_xlfn.XLOOKUP(A170&amp;B170&amp;C170,'Gross Profit &amp; EBITDA'!D:D,'Gross Profit &amp; EBITDA'!F:F,"",0,1)*E170</f>
        <v>765.6</v>
      </c>
    </row>
    <row r="171" spans="1:7" x14ac:dyDescent="0.2">
      <c r="A171" s="29" t="s">
        <v>15</v>
      </c>
      <c r="B171" s="29">
        <v>2026</v>
      </c>
      <c r="C171" s="29" t="s">
        <v>5</v>
      </c>
      <c r="D171" s="29" t="s">
        <v>6</v>
      </c>
      <c r="E171">
        <f>INDEX('Financials Canada'!$E$7:$N$19,MATCH('Input Data'!D171&amp;C171,'Financials Canada'!$A$7:$A$19,0),MATCH('Input Data'!B171,'Financials Canada'!$E$1:$N$1,0))</f>
        <v>8073</v>
      </c>
      <c r="F171" s="30">
        <f>_xlfn.XLOOKUP(A171&amp;B171&amp;C171,'Gross Profit &amp; EBITDA'!D:D,'Gross Profit &amp; EBITDA'!E:E,"",0,1)*E171</f>
        <v>4843.8000000000011</v>
      </c>
      <c r="G171" s="30">
        <f>_xlfn.XLOOKUP(A171&amp;B171&amp;C171,'Gross Profit &amp; EBITDA'!D:D,'Gross Profit &amp; EBITDA'!F:F,"",0,1)*E171</f>
        <v>1614.6000000000001</v>
      </c>
    </row>
    <row r="172" spans="1:7" x14ac:dyDescent="0.2">
      <c r="A172" s="29" t="s">
        <v>15</v>
      </c>
      <c r="B172" s="29">
        <v>2026</v>
      </c>
      <c r="C172" s="29" t="s">
        <v>8</v>
      </c>
      <c r="D172" s="29" t="s">
        <v>4</v>
      </c>
      <c r="E172">
        <f>INDEX('Financials Canada'!$E$7:$N$19,MATCH('Input Data'!D172&amp;C172,'Financials Canada'!$A$7:$A$19,0),MATCH('Input Data'!B172,'Financials Canada'!$E$1:$N$1,0))</f>
        <v>3500</v>
      </c>
      <c r="F172" s="30">
        <f>_xlfn.XLOOKUP(A172&amp;B172&amp;C172,'Gross Profit &amp; EBITDA'!D:D,'Gross Profit &amp; EBITDA'!E:E,"",0,1)*E172</f>
        <v>2800</v>
      </c>
      <c r="G172" s="30">
        <f>_xlfn.XLOOKUP(A172&amp;B172&amp;C172,'Gross Profit &amp; EBITDA'!D:D,'Gross Profit &amp; EBITDA'!F:F,"",0,1)*E172</f>
        <v>350</v>
      </c>
    </row>
    <row r="173" spans="1:7" x14ac:dyDescent="0.2">
      <c r="A173" s="29" t="s">
        <v>15</v>
      </c>
      <c r="B173" s="29">
        <v>2026</v>
      </c>
      <c r="C173" s="29" t="s">
        <v>8</v>
      </c>
      <c r="D173" s="29" t="s">
        <v>6</v>
      </c>
      <c r="E173">
        <f>INDEX('Financials Canada'!$E$7:$N$19,MATCH('Input Data'!D173&amp;C173,'Financials Canada'!$A$7:$A$19,0),MATCH('Input Data'!B173,'Financials Canada'!$E$1:$N$1,0))</f>
        <v>4109</v>
      </c>
      <c r="F173" s="30">
        <f>_xlfn.XLOOKUP(A173&amp;B173&amp;C173,'Gross Profit &amp; EBITDA'!D:D,'Gross Profit &amp; EBITDA'!E:E,"",0,1)*E173</f>
        <v>3287.2000000000003</v>
      </c>
      <c r="G173" s="30">
        <f>_xlfn.XLOOKUP(A173&amp;B173&amp;C173,'Gross Profit &amp; EBITDA'!D:D,'Gross Profit &amp; EBITDA'!F:F,"",0,1)*E173</f>
        <v>410.90000000000003</v>
      </c>
    </row>
    <row r="174" spans="1:7" x14ac:dyDescent="0.2">
      <c r="A174" s="29" t="s">
        <v>15</v>
      </c>
      <c r="B174" s="29">
        <v>2026</v>
      </c>
      <c r="C174" s="29" t="s">
        <v>9</v>
      </c>
      <c r="D174" s="29" t="s">
        <v>4</v>
      </c>
      <c r="E174">
        <f>INDEX('Financials Canada'!$E$7:$N$19,MATCH('Input Data'!D174&amp;C174,'Financials Canada'!$A$7:$A$19,0),MATCH('Input Data'!B174,'Financials Canada'!$E$1:$N$1,0))</f>
        <v>3022</v>
      </c>
      <c r="F174" s="30">
        <f>_xlfn.XLOOKUP(A174&amp;B174&amp;C174,'Gross Profit &amp; EBITDA'!D:D,'Gross Profit &amp; EBITDA'!E:E,"",0,1)*E174</f>
        <v>2417.6</v>
      </c>
      <c r="G174" s="30">
        <f>_xlfn.XLOOKUP(A174&amp;B174&amp;C174,'Gross Profit &amp; EBITDA'!D:D,'Gross Profit &amp; EBITDA'!F:F,"",0,1)*E174</f>
        <v>302.2</v>
      </c>
    </row>
    <row r="175" spans="1:7" x14ac:dyDescent="0.2">
      <c r="A175" s="29" t="s">
        <v>15</v>
      </c>
      <c r="B175" s="29">
        <v>2026</v>
      </c>
      <c r="C175" s="29" t="s">
        <v>9</v>
      </c>
      <c r="D175" s="29" t="s">
        <v>6</v>
      </c>
      <c r="E175">
        <f>INDEX('Financials Canada'!$E$7:$N$19,MATCH('Input Data'!D175&amp;C175,'Financials Canada'!$A$7:$A$19,0),MATCH('Input Data'!B175,'Financials Canada'!$E$1:$N$1,0))</f>
        <v>5449</v>
      </c>
      <c r="F175" s="30">
        <f>_xlfn.XLOOKUP(A175&amp;B175&amp;C175,'Gross Profit &amp; EBITDA'!D:D,'Gross Profit &amp; EBITDA'!E:E,"",0,1)*E175</f>
        <v>4359.2</v>
      </c>
      <c r="G175" s="30">
        <f>_xlfn.XLOOKUP(A175&amp;B175&amp;C175,'Gross Profit &amp; EBITDA'!D:D,'Gross Profit &amp; EBITDA'!F:F,"",0,1)*E175</f>
        <v>544.9</v>
      </c>
    </row>
    <row r="176" spans="1:7" x14ac:dyDescent="0.2">
      <c r="A176" s="29" t="s">
        <v>15</v>
      </c>
      <c r="B176" s="29">
        <v>2027</v>
      </c>
      <c r="C176" s="29" t="s">
        <v>5</v>
      </c>
      <c r="D176" s="29" t="s">
        <v>4</v>
      </c>
      <c r="E176">
        <f>INDEX('Financials Canada'!$E$7:$N$19,MATCH('Input Data'!D176&amp;C176,'Financials Canada'!$A$7:$A$19,0),MATCH('Input Data'!B176,'Financials Canada'!$E$1:$N$1,0))</f>
        <v>1808</v>
      </c>
      <c r="F176" s="30">
        <f>_xlfn.XLOOKUP(A176&amp;B176&amp;C176,'Gross Profit &amp; EBITDA'!D:D,'Gross Profit &amp; EBITDA'!E:E,"",0,1)*E176</f>
        <v>904</v>
      </c>
      <c r="G176" s="30">
        <f>_xlfn.XLOOKUP(A176&amp;B176&amp;C176,'Gross Profit &amp; EBITDA'!D:D,'Gross Profit &amp; EBITDA'!F:F,"",0,1)*E176</f>
        <v>361.6</v>
      </c>
    </row>
    <row r="177" spans="1:7" x14ac:dyDescent="0.2">
      <c r="A177" s="29" t="s">
        <v>15</v>
      </c>
      <c r="B177" s="29">
        <v>2027</v>
      </c>
      <c r="C177" s="29" t="s">
        <v>5</v>
      </c>
      <c r="D177" s="29" t="s">
        <v>6</v>
      </c>
      <c r="E177">
        <f>INDEX('Financials Canada'!$E$7:$N$19,MATCH('Input Data'!D177&amp;C177,'Financials Canada'!$A$7:$A$19,0),MATCH('Input Data'!B177,'Financials Canada'!$E$1:$N$1,0))</f>
        <v>7814</v>
      </c>
      <c r="F177" s="30">
        <f>_xlfn.XLOOKUP(A177&amp;B177&amp;C177,'Gross Profit &amp; EBITDA'!D:D,'Gross Profit &amp; EBITDA'!E:E,"",0,1)*E177</f>
        <v>3907</v>
      </c>
      <c r="G177" s="30">
        <f>_xlfn.XLOOKUP(A177&amp;B177&amp;C177,'Gross Profit &amp; EBITDA'!D:D,'Gross Profit &amp; EBITDA'!F:F,"",0,1)*E177</f>
        <v>1562.8000000000002</v>
      </c>
    </row>
    <row r="178" spans="1:7" x14ac:dyDescent="0.2">
      <c r="A178" s="29" t="s">
        <v>15</v>
      </c>
      <c r="B178" s="29">
        <v>2027</v>
      </c>
      <c r="C178" s="29" t="s">
        <v>8</v>
      </c>
      <c r="D178" s="29" t="s">
        <v>4</v>
      </c>
      <c r="E178">
        <f>INDEX('Financials Canada'!$E$7:$N$19,MATCH('Input Data'!D178&amp;C178,'Financials Canada'!$A$7:$A$19,0),MATCH('Input Data'!B178,'Financials Canada'!$E$1:$N$1,0))</f>
        <v>2150</v>
      </c>
      <c r="F178" s="30">
        <f>_xlfn.XLOOKUP(A178&amp;B178&amp;C178,'Gross Profit &amp; EBITDA'!D:D,'Gross Profit &amp; EBITDA'!E:E,"",0,1)*E178</f>
        <v>1505.0000000000002</v>
      </c>
      <c r="G178" s="30">
        <f>_xlfn.XLOOKUP(A178&amp;B178&amp;C178,'Gross Profit &amp; EBITDA'!D:D,'Gross Profit &amp; EBITDA'!F:F,"",0,1)*E178</f>
        <v>430</v>
      </c>
    </row>
    <row r="179" spans="1:7" x14ac:dyDescent="0.2">
      <c r="A179" s="29" t="s">
        <v>15</v>
      </c>
      <c r="B179" s="29">
        <v>2027</v>
      </c>
      <c r="C179" s="29" t="s">
        <v>8</v>
      </c>
      <c r="D179" s="29" t="s">
        <v>6</v>
      </c>
      <c r="E179">
        <f>INDEX('Financials Canada'!$E$7:$N$19,MATCH('Input Data'!D179&amp;C179,'Financials Canada'!$A$7:$A$19,0),MATCH('Input Data'!B179,'Financials Canada'!$E$1:$N$1,0))</f>
        <v>3706</v>
      </c>
      <c r="F179" s="30">
        <f>_xlfn.XLOOKUP(A179&amp;B179&amp;C179,'Gross Profit &amp; EBITDA'!D:D,'Gross Profit &amp; EBITDA'!E:E,"",0,1)*E179</f>
        <v>2594.2000000000003</v>
      </c>
      <c r="G179" s="30">
        <f>_xlfn.XLOOKUP(A179&amp;B179&amp;C179,'Gross Profit &amp; EBITDA'!D:D,'Gross Profit &amp; EBITDA'!F:F,"",0,1)*E179</f>
        <v>741.2</v>
      </c>
    </row>
    <row r="180" spans="1:7" x14ac:dyDescent="0.2">
      <c r="A180" s="29" t="s">
        <v>15</v>
      </c>
      <c r="B180" s="29">
        <v>2027</v>
      </c>
      <c r="C180" s="29" t="s">
        <v>9</v>
      </c>
      <c r="D180" s="29" t="s">
        <v>4</v>
      </c>
      <c r="E180">
        <f>INDEX('Financials Canada'!$E$7:$N$19,MATCH('Input Data'!D180&amp;C180,'Financials Canada'!$A$7:$A$19,0),MATCH('Input Data'!B180,'Financials Canada'!$E$1:$N$1,0))</f>
        <v>3867</v>
      </c>
      <c r="F180" s="30">
        <f>_xlfn.XLOOKUP(A180&amp;B180&amp;C180,'Gross Profit &amp; EBITDA'!D:D,'Gross Profit &amp; EBITDA'!E:E,"",0,1)*E180</f>
        <v>2320.2000000000003</v>
      </c>
      <c r="G180" s="30">
        <f>_xlfn.XLOOKUP(A180&amp;B180&amp;C180,'Gross Profit &amp; EBITDA'!D:D,'Gross Profit &amp; EBITDA'!F:F,"",0,1)*E180</f>
        <v>386.70000000000005</v>
      </c>
    </row>
    <row r="181" spans="1:7" x14ac:dyDescent="0.2">
      <c r="A181" s="29" t="s">
        <v>15</v>
      </c>
      <c r="B181" s="29">
        <v>2027</v>
      </c>
      <c r="C181" s="29" t="s">
        <v>9</v>
      </c>
      <c r="D181" s="29" t="s">
        <v>6</v>
      </c>
      <c r="E181">
        <f>INDEX('Financials Canada'!$E$7:$N$19,MATCH('Input Data'!D181&amp;C181,'Financials Canada'!$A$7:$A$19,0),MATCH('Input Data'!B181,'Financials Canada'!$E$1:$N$1,0))</f>
        <v>4586</v>
      </c>
      <c r="F181" s="30">
        <f>_xlfn.XLOOKUP(A181&amp;B181&amp;C181,'Gross Profit &amp; EBITDA'!D:D,'Gross Profit &amp; EBITDA'!E:E,"",0,1)*E181</f>
        <v>2751.6000000000004</v>
      </c>
      <c r="G181" s="30">
        <f>_xlfn.XLOOKUP(A181&amp;B181&amp;C181,'Gross Profit &amp; EBITDA'!D:D,'Gross Profit &amp; EBITDA'!F:F,"",0,1)*E181</f>
        <v>458.6</v>
      </c>
    </row>
    <row r="182" spans="1:7" x14ac:dyDescent="0.2">
      <c r="A182" s="29" t="s">
        <v>15</v>
      </c>
      <c r="B182" s="29">
        <v>2018</v>
      </c>
      <c r="C182" s="29" t="s">
        <v>5</v>
      </c>
      <c r="D182" s="29" t="s">
        <v>4</v>
      </c>
      <c r="E182">
        <f>INDEX('Financials Canada'!$E$7:$N$19,MATCH('Input Data'!D182&amp;C182,'Financials Canada'!$A$7:$A$19,0),MATCH('Input Data'!B182,'Financials Canada'!$E$1:$N$1,0))</f>
        <v>1869</v>
      </c>
      <c r="F182" s="30">
        <f>_xlfn.XLOOKUP(A182&amp;B182&amp;C182,'Gross Profit &amp; EBITDA'!D:D,'Gross Profit &amp; EBITDA'!E:E,"",0,1)*E182</f>
        <v>1121.4000000000001</v>
      </c>
      <c r="G182" s="30">
        <f>_xlfn.XLOOKUP(A182&amp;B182&amp;C182,'Gross Profit &amp; EBITDA'!D:D,'Gross Profit &amp; EBITDA'!F:F,"",0,1)*E182</f>
        <v>373.8</v>
      </c>
    </row>
    <row r="183" spans="1:7" x14ac:dyDescent="0.2">
      <c r="A183" s="29" t="s">
        <v>15</v>
      </c>
      <c r="B183" s="29">
        <v>2018</v>
      </c>
      <c r="C183" s="29" t="s">
        <v>5</v>
      </c>
      <c r="D183" s="29" t="s">
        <v>6</v>
      </c>
      <c r="E183">
        <f>INDEX('Financials Canada'!$E$7:$N$19,MATCH('Input Data'!D183&amp;C183,'Financials Canada'!$A$7:$A$19,0),MATCH('Input Data'!B183,'Financials Canada'!$E$1:$N$1,0))</f>
        <v>7987</v>
      </c>
      <c r="F183" s="30">
        <f>_xlfn.XLOOKUP(A183&amp;B183&amp;C183,'Gross Profit &amp; EBITDA'!D:D,'Gross Profit &amp; EBITDA'!E:E,"",0,1)*E183</f>
        <v>4792.2000000000007</v>
      </c>
      <c r="G183" s="30">
        <f>_xlfn.XLOOKUP(A183&amp;B183&amp;C183,'Gross Profit &amp; EBITDA'!D:D,'Gross Profit &amp; EBITDA'!F:F,"",0,1)*E183</f>
        <v>1597.4</v>
      </c>
    </row>
    <row r="184" spans="1:7" x14ac:dyDescent="0.2">
      <c r="A184" s="29" t="s">
        <v>15</v>
      </c>
      <c r="B184" s="29">
        <v>2018</v>
      </c>
      <c r="C184" s="29" t="s">
        <v>8</v>
      </c>
      <c r="D184" s="29" t="s">
        <v>4</v>
      </c>
      <c r="E184">
        <f>INDEX('Financials Canada'!$E$7:$N$19,MATCH('Input Data'!D184&amp;C184,'Financials Canada'!$A$7:$A$19,0),MATCH('Input Data'!B184,'Financials Canada'!$E$1:$N$1,0))</f>
        <v>2184</v>
      </c>
      <c r="F184" s="30">
        <f>_xlfn.XLOOKUP(A184&amp;B184&amp;C184,'Gross Profit &amp; EBITDA'!D:D,'Gross Profit &amp; EBITDA'!E:E,"",0,1)*E184</f>
        <v>1747.2</v>
      </c>
      <c r="G184" s="30">
        <f>_xlfn.XLOOKUP(A184&amp;B184&amp;C184,'Gross Profit &amp; EBITDA'!D:D,'Gross Profit &amp; EBITDA'!F:F,"",0,1)*E184</f>
        <v>218.4</v>
      </c>
    </row>
    <row r="185" spans="1:7" x14ac:dyDescent="0.2">
      <c r="A185" s="29" t="s">
        <v>15</v>
      </c>
      <c r="B185" s="29">
        <v>2018</v>
      </c>
      <c r="C185" s="29" t="s">
        <v>8</v>
      </c>
      <c r="D185" s="29" t="s">
        <v>6</v>
      </c>
      <c r="E185">
        <f>INDEX('Financials Canada'!$E$7:$N$19,MATCH('Input Data'!D185&amp;C185,'Financials Canada'!$A$7:$A$19,0),MATCH('Input Data'!B185,'Financials Canada'!$E$1:$N$1,0))</f>
        <v>3902</v>
      </c>
      <c r="F185" s="30">
        <f>_xlfn.XLOOKUP(A185&amp;B185&amp;C185,'Gross Profit &amp; EBITDA'!D:D,'Gross Profit &amp; EBITDA'!E:E,"",0,1)*E185</f>
        <v>3121.6000000000004</v>
      </c>
      <c r="G185" s="30">
        <f>_xlfn.XLOOKUP(A185&amp;B185&amp;C185,'Gross Profit &amp; EBITDA'!D:D,'Gross Profit &amp; EBITDA'!F:F,"",0,1)*E185</f>
        <v>390.20000000000005</v>
      </c>
    </row>
    <row r="186" spans="1:7" x14ac:dyDescent="0.2">
      <c r="A186" s="29" t="s">
        <v>15</v>
      </c>
      <c r="B186" s="29">
        <v>2018</v>
      </c>
      <c r="C186" s="29" t="s">
        <v>9</v>
      </c>
      <c r="D186" s="29" t="s">
        <v>4</v>
      </c>
      <c r="E186">
        <f>INDEX('Financials Canada'!$E$7:$N$19,MATCH('Input Data'!D186&amp;C186,'Financials Canada'!$A$7:$A$19,0),MATCH('Input Data'!B186,'Financials Canada'!$E$1:$N$1,0))</f>
        <v>684</v>
      </c>
      <c r="F186" s="30">
        <f>_xlfn.XLOOKUP(A186&amp;B186&amp;C186,'Gross Profit &amp; EBITDA'!D:D,'Gross Profit &amp; EBITDA'!E:E,"",0,1)*E186</f>
        <v>547.20000000000005</v>
      </c>
      <c r="G186" s="30">
        <f>_xlfn.XLOOKUP(A186&amp;B186&amp;C186,'Gross Profit &amp; EBITDA'!D:D,'Gross Profit &amp; EBITDA'!F:F,"",0,1)*E186</f>
        <v>136.80000000000001</v>
      </c>
    </row>
    <row r="187" spans="1:7" x14ac:dyDescent="0.2">
      <c r="A187" s="29" t="s">
        <v>15</v>
      </c>
      <c r="B187" s="29">
        <v>2018</v>
      </c>
      <c r="C187" s="29" t="s">
        <v>9</v>
      </c>
      <c r="D187" s="29" t="s">
        <v>6</v>
      </c>
      <c r="E187">
        <f>INDEX('Financials Canada'!$E$7:$N$19,MATCH('Input Data'!D187&amp;C187,'Financials Canada'!$A$7:$A$19,0),MATCH('Input Data'!B187,'Financials Canada'!$E$1:$N$1,0))</f>
        <v>4549</v>
      </c>
      <c r="F187" s="30">
        <f>_xlfn.XLOOKUP(A187&amp;B187&amp;C187,'Gross Profit &amp; EBITDA'!D:D,'Gross Profit &amp; EBITDA'!E:E,"",0,1)*E187</f>
        <v>3639.2000000000003</v>
      </c>
      <c r="G187" s="30">
        <f>_xlfn.XLOOKUP(A187&amp;B187&amp;C187,'Gross Profit &amp; EBITDA'!D:D,'Gross Profit &amp; EBITDA'!F:F,"",0,1)*E187</f>
        <v>909.80000000000007</v>
      </c>
    </row>
    <row r="188" spans="1:7" x14ac:dyDescent="0.2">
      <c r="A188" s="29" t="s">
        <v>15</v>
      </c>
      <c r="B188" s="29">
        <v>2019</v>
      </c>
      <c r="C188" s="29" t="s">
        <v>5</v>
      </c>
      <c r="D188" s="29" t="s">
        <v>4</v>
      </c>
      <c r="E188">
        <f>INDEX('Financials Canada'!$E$7:$N$19,MATCH('Input Data'!D188&amp;C188,'Financials Canada'!$A$7:$A$19,0),MATCH('Input Data'!B188,'Financials Canada'!$E$1:$N$1,0))</f>
        <v>3211</v>
      </c>
      <c r="F188" s="30">
        <f>_xlfn.XLOOKUP(A188&amp;B188&amp;C188,'Gross Profit &amp; EBITDA'!D:D,'Gross Profit &amp; EBITDA'!E:E,"",0,1)*E188</f>
        <v>1926.6000000000004</v>
      </c>
      <c r="G188" s="30">
        <f>_xlfn.XLOOKUP(A188&amp;B188&amp;C188,'Gross Profit &amp; EBITDA'!D:D,'Gross Profit &amp; EBITDA'!F:F,"",0,1)*E188</f>
        <v>642.20000000000005</v>
      </c>
    </row>
    <row r="189" spans="1:7" x14ac:dyDescent="0.2">
      <c r="A189" s="29" t="s">
        <v>15</v>
      </c>
      <c r="B189" s="29">
        <v>2019</v>
      </c>
      <c r="C189" s="29" t="s">
        <v>5</v>
      </c>
      <c r="D189" s="29" t="s">
        <v>6</v>
      </c>
      <c r="E189">
        <f>INDEX('Financials Canada'!$E$7:$N$19,MATCH('Input Data'!D189&amp;C189,'Financials Canada'!$A$7:$A$19,0),MATCH('Input Data'!B189,'Financials Canada'!$E$1:$N$1,0))</f>
        <v>7978</v>
      </c>
      <c r="F189" s="30">
        <f>_xlfn.XLOOKUP(A189&amp;B189&amp;C189,'Gross Profit &amp; EBITDA'!D:D,'Gross Profit &amp; EBITDA'!E:E,"",0,1)*E189</f>
        <v>4786.8000000000011</v>
      </c>
      <c r="G189" s="30">
        <f>_xlfn.XLOOKUP(A189&amp;B189&amp;C189,'Gross Profit &amp; EBITDA'!D:D,'Gross Profit &amp; EBITDA'!F:F,"",0,1)*E189</f>
        <v>1595.6000000000001</v>
      </c>
    </row>
    <row r="190" spans="1:7" x14ac:dyDescent="0.2">
      <c r="A190" s="29" t="s">
        <v>15</v>
      </c>
      <c r="B190" s="29">
        <v>2019</v>
      </c>
      <c r="C190" s="29" t="s">
        <v>8</v>
      </c>
      <c r="D190" s="29" t="s">
        <v>4</v>
      </c>
      <c r="E190">
        <f>INDEX('Financials Canada'!$E$7:$N$19,MATCH('Input Data'!D190&amp;C190,'Financials Canada'!$A$7:$A$19,0),MATCH('Input Data'!B190,'Financials Canada'!$E$1:$N$1,0))</f>
        <v>1395</v>
      </c>
      <c r="F190" s="30">
        <f>_xlfn.XLOOKUP(A190&amp;B190&amp;C190,'Gross Profit &amp; EBITDA'!D:D,'Gross Profit &amp; EBITDA'!E:E,"",0,1)*E190</f>
        <v>976.50000000000011</v>
      </c>
      <c r="G190" s="30">
        <f>_xlfn.XLOOKUP(A190&amp;B190&amp;C190,'Gross Profit &amp; EBITDA'!D:D,'Gross Profit &amp; EBITDA'!F:F,"",0,1)*E190</f>
        <v>139.5</v>
      </c>
    </row>
    <row r="191" spans="1:7" x14ac:dyDescent="0.2">
      <c r="A191" s="29" t="s">
        <v>15</v>
      </c>
      <c r="B191" s="29">
        <v>2019</v>
      </c>
      <c r="C191" s="29" t="s">
        <v>8</v>
      </c>
      <c r="D191" s="29" t="s">
        <v>6</v>
      </c>
      <c r="E191">
        <f>INDEX('Financials Canada'!$E$7:$N$19,MATCH('Input Data'!D191&amp;C191,'Financials Canada'!$A$7:$A$19,0),MATCH('Input Data'!B191,'Financials Canada'!$E$1:$N$1,0))</f>
        <v>3286</v>
      </c>
      <c r="F191" s="30">
        <f>_xlfn.XLOOKUP(A191&amp;B191&amp;C191,'Gross Profit &amp; EBITDA'!D:D,'Gross Profit &amp; EBITDA'!E:E,"",0,1)*E191</f>
        <v>2300.2000000000003</v>
      </c>
      <c r="G191" s="30">
        <f>_xlfn.XLOOKUP(A191&amp;B191&amp;C191,'Gross Profit &amp; EBITDA'!D:D,'Gross Profit &amp; EBITDA'!F:F,"",0,1)*E191</f>
        <v>328.6</v>
      </c>
    </row>
    <row r="192" spans="1:7" x14ac:dyDescent="0.2">
      <c r="A192" s="29" t="s">
        <v>15</v>
      </c>
      <c r="B192" s="29">
        <v>2019</v>
      </c>
      <c r="C192" s="29" t="s">
        <v>9</v>
      </c>
      <c r="D192" s="29" t="s">
        <v>4</v>
      </c>
      <c r="E192">
        <f>INDEX('Financials Canada'!$E$7:$N$19,MATCH('Input Data'!D192&amp;C192,'Financials Canada'!$A$7:$A$19,0),MATCH('Input Data'!B192,'Financials Canada'!$E$1:$N$1,0))</f>
        <v>2947</v>
      </c>
      <c r="F192" s="30">
        <f>_xlfn.XLOOKUP(A192&amp;B192&amp;C192,'Gross Profit &amp; EBITDA'!D:D,'Gross Profit &amp; EBITDA'!E:E,"",0,1)*E192</f>
        <v>1473.5</v>
      </c>
      <c r="G192" s="30">
        <f>_xlfn.XLOOKUP(A192&amp;B192&amp;C192,'Gross Profit &amp; EBITDA'!D:D,'Gross Profit &amp; EBITDA'!F:F,"",0,1)*E192</f>
        <v>589.4</v>
      </c>
    </row>
    <row r="193" spans="1:7" x14ac:dyDescent="0.2">
      <c r="A193" s="29" t="s">
        <v>15</v>
      </c>
      <c r="B193" s="29">
        <v>2019</v>
      </c>
      <c r="C193" s="29" t="s">
        <v>9</v>
      </c>
      <c r="D193" s="29" t="s">
        <v>6</v>
      </c>
      <c r="E193">
        <f>INDEX('Financials Canada'!$E$7:$N$19,MATCH('Input Data'!D193&amp;C193,'Financials Canada'!$A$7:$A$19,0),MATCH('Input Data'!B193,'Financials Canada'!$E$1:$N$1,0))</f>
        <v>2187</v>
      </c>
      <c r="F193" s="30">
        <f>_xlfn.XLOOKUP(A193&amp;B193&amp;C193,'Gross Profit &amp; EBITDA'!D:D,'Gross Profit &amp; EBITDA'!E:E,"",0,1)*E193</f>
        <v>1093.5</v>
      </c>
      <c r="G193" s="30">
        <f>_xlfn.XLOOKUP(A193&amp;B193&amp;C193,'Gross Profit &amp; EBITDA'!D:D,'Gross Profit &amp; EBITDA'!F:F,"",0,1)*E193</f>
        <v>437.40000000000003</v>
      </c>
    </row>
    <row r="194" spans="1:7" x14ac:dyDescent="0.2">
      <c r="A194" s="29" t="s">
        <v>15</v>
      </c>
      <c r="B194" s="29">
        <v>2020</v>
      </c>
      <c r="C194" s="29" t="s">
        <v>5</v>
      </c>
      <c r="D194" s="29" t="s">
        <v>4</v>
      </c>
      <c r="E194">
        <f>INDEX('Financials Canada'!$E$7:$N$19,MATCH('Input Data'!D194&amp;C194,'Financials Canada'!$A$7:$A$19,0),MATCH('Input Data'!B194,'Financials Canada'!$E$1:$N$1,0))</f>
        <v>2405</v>
      </c>
      <c r="F194" s="30">
        <f>_xlfn.XLOOKUP(A194&amp;B194&amp;C194,'Gross Profit &amp; EBITDA'!D:D,'Gross Profit &amp; EBITDA'!E:E,"",0,1)*E194</f>
        <v>1683.5000000000002</v>
      </c>
      <c r="G194" s="30">
        <f>_xlfn.XLOOKUP(A194&amp;B194&amp;C194,'Gross Profit &amp; EBITDA'!D:D,'Gross Profit &amp; EBITDA'!F:F,"",0,1)*E194</f>
        <v>481</v>
      </c>
    </row>
    <row r="195" spans="1:7" x14ac:dyDescent="0.2">
      <c r="A195" s="29" t="s">
        <v>15</v>
      </c>
      <c r="B195" s="29">
        <v>2020</v>
      </c>
      <c r="C195" s="29" t="s">
        <v>5</v>
      </c>
      <c r="D195" s="29" t="s">
        <v>4</v>
      </c>
      <c r="E195">
        <f>INDEX('Financials Canada'!$E$7:$N$19,MATCH('Input Data'!D195&amp;C195,'Financials Canada'!$A$7:$A$19,0),MATCH('Input Data'!B195,'Financials Canada'!$E$1:$N$1,0))</f>
        <v>2405</v>
      </c>
      <c r="F195" s="30">
        <f>_xlfn.XLOOKUP(A195&amp;B195&amp;C195,'Gross Profit &amp; EBITDA'!D:D,'Gross Profit &amp; EBITDA'!E:E,"",0,1)*E195</f>
        <v>1683.5000000000002</v>
      </c>
      <c r="G195" s="30">
        <f>_xlfn.XLOOKUP(A195&amp;B195&amp;C195,'Gross Profit &amp; EBITDA'!D:D,'Gross Profit &amp; EBITDA'!F:F,"",0,1)*E195</f>
        <v>481</v>
      </c>
    </row>
    <row r="196" spans="1:7" x14ac:dyDescent="0.2">
      <c r="A196" s="29" t="s">
        <v>15</v>
      </c>
      <c r="B196" s="29">
        <v>2020</v>
      </c>
      <c r="C196" s="29" t="s">
        <v>8</v>
      </c>
      <c r="D196" s="29" t="s">
        <v>6</v>
      </c>
      <c r="E196">
        <f>INDEX('Financials Canada'!$E$7:$N$19,MATCH('Input Data'!D196&amp;C196,'Financials Canada'!$A$7:$A$19,0),MATCH('Input Data'!B196,'Financials Canada'!$E$1:$N$1,0))</f>
        <v>2912</v>
      </c>
      <c r="F196" s="30">
        <f>_xlfn.XLOOKUP(A196&amp;B196&amp;C196,'Gross Profit &amp; EBITDA'!D:D,'Gross Profit &amp; EBITDA'!E:E,"",0,1)*E196</f>
        <v>1747.2000000000003</v>
      </c>
      <c r="G196" s="30">
        <f>_xlfn.XLOOKUP(A196&amp;B196&amp;C196,'Gross Profit &amp; EBITDA'!D:D,'Gross Profit &amp; EBITDA'!F:F,"",0,1)*E196</f>
        <v>291.2</v>
      </c>
    </row>
    <row r="197" spans="1:7" x14ac:dyDescent="0.2">
      <c r="A197" s="29" t="s">
        <v>15</v>
      </c>
      <c r="B197" s="29">
        <v>2020</v>
      </c>
      <c r="C197" s="29" t="s">
        <v>8</v>
      </c>
      <c r="D197" s="29" t="s">
        <v>4</v>
      </c>
      <c r="E197">
        <f>INDEX('Financials Canada'!$E$7:$N$19,MATCH('Input Data'!D197&amp;C197,'Financials Canada'!$A$7:$A$19,0),MATCH('Input Data'!B197,'Financials Canada'!$E$1:$N$1,0))</f>
        <v>1625</v>
      </c>
      <c r="F197" s="30">
        <f>_xlfn.XLOOKUP(A197&amp;B197&amp;C197,'Gross Profit &amp; EBITDA'!D:D,'Gross Profit &amp; EBITDA'!E:E,"",0,1)*E197</f>
        <v>975.00000000000011</v>
      </c>
      <c r="G197" s="30">
        <f>_xlfn.XLOOKUP(A197&amp;B197&amp;C197,'Gross Profit &amp; EBITDA'!D:D,'Gross Profit &amp; EBITDA'!F:F,"",0,1)*E197</f>
        <v>162.5</v>
      </c>
    </row>
    <row r="198" spans="1:7" x14ac:dyDescent="0.2">
      <c r="A198" s="29" t="s">
        <v>15</v>
      </c>
      <c r="B198" s="29">
        <v>2020</v>
      </c>
      <c r="C198" s="29" t="s">
        <v>9</v>
      </c>
      <c r="D198" s="29" t="s">
        <v>6</v>
      </c>
      <c r="E198">
        <f>INDEX('Financials Canada'!$E$7:$N$19,MATCH('Input Data'!D198&amp;C198,'Financials Canada'!$A$7:$A$19,0),MATCH('Input Data'!B198,'Financials Canada'!$E$1:$N$1,0))</f>
        <v>6203</v>
      </c>
      <c r="F198" s="30">
        <f>_xlfn.XLOOKUP(A198&amp;B198&amp;C198,'Gross Profit &amp; EBITDA'!D:D,'Gross Profit &amp; EBITDA'!E:E,"",0,1)*E198</f>
        <v>4342.1000000000004</v>
      </c>
      <c r="G198" s="30">
        <f>_xlfn.XLOOKUP(A198&amp;B198&amp;C198,'Gross Profit &amp; EBITDA'!D:D,'Gross Profit &amp; EBITDA'!F:F,"",0,1)*E198</f>
        <v>1240.6000000000001</v>
      </c>
    </row>
    <row r="199" spans="1:7" x14ac:dyDescent="0.2">
      <c r="A199" s="29" t="s">
        <v>15</v>
      </c>
      <c r="B199" s="29">
        <v>2020</v>
      </c>
      <c r="C199" s="29" t="s">
        <v>9</v>
      </c>
      <c r="D199" s="29" t="s">
        <v>4</v>
      </c>
      <c r="E199">
        <f>INDEX('Financials Canada'!$E$7:$N$19,MATCH('Input Data'!D199&amp;C199,'Financials Canada'!$A$7:$A$19,0),MATCH('Input Data'!B199,'Financials Canada'!$E$1:$N$1,0))</f>
        <v>1690</v>
      </c>
      <c r="F199" s="30">
        <f>_xlfn.XLOOKUP(A199&amp;B199&amp;C199,'Gross Profit &amp; EBITDA'!D:D,'Gross Profit &amp; EBITDA'!E:E,"",0,1)*E199</f>
        <v>1183</v>
      </c>
      <c r="G199" s="30">
        <f>_xlfn.XLOOKUP(A199&amp;B199&amp;C199,'Gross Profit &amp; EBITDA'!D:D,'Gross Profit &amp; EBITDA'!F:F,"",0,1)*E199</f>
        <v>338</v>
      </c>
    </row>
    <row r="200" spans="1:7" x14ac:dyDescent="0.2">
      <c r="A200" s="29" t="s">
        <v>15</v>
      </c>
      <c r="B200" s="29">
        <v>2021</v>
      </c>
      <c r="C200" s="29" t="s">
        <v>5</v>
      </c>
      <c r="D200" s="29" t="s">
        <v>6</v>
      </c>
      <c r="E200">
        <f>INDEX('Financials Canada'!$E$7:$N$19,MATCH('Input Data'!D200&amp;C200,'Financials Canada'!$A$7:$A$19,0),MATCH('Input Data'!B200,'Financials Canada'!$E$1:$N$1,0))</f>
        <v>5075</v>
      </c>
      <c r="F200" s="30">
        <f>_xlfn.XLOOKUP(A200&amp;B200&amp;C200,'Gross Profit &amp; EBITDA'!D:D,'Gross Profit &amp; EBITDA'!E:E,"",0,1)*E200</f>
        <v>3045.0000000000005</v>
      </c>
      <c r="G200" s="30">
        <f>_xlfn.XLOOKUP(A200&amp;B200&amp;C200,'Gross Profit &amp; EBITDA'!D:D,'Gross Profit &amp; EBITDA'!F:F,"",0,1)*E200</f>
        <v>1015</v>
      </c>
    </row>
    <row r="201" spans="1:7" x14ac:dyDescent="0.2">
      <c r="A201" s="29" t="s">
        <v>15</v>
      </c>
      <c r="B201" s="29">
        <v>2021</v>
      </c>
      <c r="C201" s="29" t="s">
        <v>5</v>
      </c>
      <c r="D201" s="29" t="s">
        <v>4</v>
      </c>
      <c r="E201">
        <f>INDEX('Financials Canada'!$E$7:$N$19,MATCH('Input Data'!D201&amp;C201,'Financials Canada'!$A$7:$A$19,0),MATCH('Input Data'!B201,'Financials Canada'!$E$1:$N$1,0))</f>
        <v>2490</v>
      </c>
      <c r="F201" s="30">
        <f>_xlfn.XLOOKUP(A201&amp;B201&amp;C201,'Gross Profit &amp; EBITDA'!D:D,'Gross Profit &amp; EBITDA'!E:E,"",0,1)*E201</f>
        <v>1494.0000000000002</v>
      </c>
      <c r="G201" s="30">
        <f>_xlfn.XLOOKUP(A201&amp;B201&amp;C201,'Gross Profit &amp; EBITDA'!D:D,'Gross Profit &amp; EBITDA'!F:F,"",0,1)*E201</f>
        <v>498</v>
      </c>
    </row>
    <row r="202" spans="1:7" x14ac:dyDescent="0.2">
      <c r="A202" s="29" t="s">
        <v>15</v>
      </c>
      <c r="B202" s="29">
        <v>2021</v>
      </c>
      <c r="C202" s="29" t="s">
        <v>8</v>
      </c>
      <c r="D202" s="29" t="s">
        <v>6</v>
      </c>
      <c r="E202">
        <f>INDEX('Financials Canada'!$E$7:$N$19,MATCH('Input Data'!D202&amp;C202,'Financials Canada'!$A$7:$A$19,0),MATCH('Input Data'!B202,'Financials Canada'!$E$1:$N$1,0))</f>
        <v>4586</v>
      </c>
      <c r="F202" s="30">
        <f>_xlfn.XLOOKUP(A202&amp;B202&amp;C202,'Gross Profit &amp; EBITDA'!D:D,'Gross Profit &amp; EBITDA'!E:E,"",0,1)*E202</f>
        <v>2293</v>
      </c>
      <c r="G202" s="30">
        <f>_xlfn.XLOOKUP(A202&amp;B202&amp;C202,'Gross Profit &amp; EBITDA'!D:D,'Gross Profit &amp; EBITDA'!F:F,"",0,1)*E202</f>
        <v>917.2</v>
      </c>
    </row>
    <row r="203" spans="1:7" x14ac:dyDescent="0.2">
      <c r="A203" s="29" t="s">
        <v>15</v>
      </c>
      <c r="B203" s="29">
        <v>2021</v>
      </c>
      <c r="C203" s="29" t="s">
        <v>8</v>
      </c>
      <c r="D203" s="29" t="s">
        <v>4</v>
      </c>
      <c r="E203">
        <f>INDEX('Financials Canada'!$E$7:$N$19,MATCH('Input Data'!D203&amp;C203,'Financials Canada'!$A$7:$A$19,0),MATCH('Input Data'!B203,'Financials Canada'!$E$1:$N$1,0))</f>
        <v>1710</v>
      </c>
      <c r="F203" s="30">
        <f>_xlfn.XLOOKUP(A203&amp;B203&amp;C203,'Gross Profit &amp; EBITDA'!D:D,'Gross Profit &amp; EBITDA'!E:E,"",0,1)*E203</f>
        <v>855</v>
      </c>
      <c r="G203" s="30">
        <f>_xlfn.XLOOKUP(A203&amp;B203&amp;C203,'Gross Profit &amp; EBITDA'!D:D,'Gross Profit &amp; EBITDA'!F:F,"",0,1)*E203</f>
        <v>342</v>
      </c>
    </row>
    <row r="204" spans="1:7" x14ac:dyDescent="0.2">
      <c r="A204" s="29" t="s">
        <v>15</v>
      </c>
      <c r="B204" s="29">
        <v>2021</v>
      </c>
      <c r="C204" s="29" t="s">
        <v>9</v>
      </c>
      <c r="D204" s="29" t="s">
        <v>6</v>
      </c>
      <c r="E204">
        <f>INDEX('Financials Canada'!$E$7:$N$19,MATCH('Input Data'!D204&amp;C204,'Financials Canada'!$A$7:$A$19,0),MATCH('Input Data'!B204,'Financials Canada'!$E$1:$N$1,0))</f>
        <v>1126</v>
      </c>
      <c r="F204" s="30">
        <f>_xlfn.XLOOKUP(A204&amp;B204&amp;C204,'Gross Profit &amp; EBITDA'!D:D,'Gross Profit &amp; EBITDA'!E:E,"",0,1)*E204</f>
        <v>900.80000000000007</v>
      </c>
      <c r="G204" s="30">
        <f>_xlfn.XLOOKUP(A204&amp;B204&amp;C204,'Gross Profit &amp; EBITDA'!D:D,'Gross Profit &amp; EBITDA'!F:F,"",0,1)*E204</f>
        <v>225.20000000000002</v>
      </c>
    </row>
    <row r="205" spans="1:7" x14ac:dyDescent="0.2">
      <c r="A205" s="29" t="s">
        <v>15</v>
      </c>
      <c r="B205" s="29">
        <v>2021</v>
      </c>
      <c r="C205" s="29" t="s">
        <v>9</v>
      </c>
      <c r="D205" s="29" t="s">
        <v>4</v>
      </c>
      <c r="E205">
        <f>INDEX('Financials Canada'!$E$7:$N$19,MATCH('Input Data'!D205&amp;C205,'Financials Canada'!$A$7:$A$19,0),MATCH('Input Data'!B205,'Financials Canada'!$E$1:$N$1,0))</f>
        <v>1626</v>
      </c>
      <c r="F205" s="30">
        <f>_xlfn.XLOOKUP(A205&amp;B205&amp;C205,'Gross Profit &amp; EBITDA'!D:D,'Gross Profit &amp; EBITDA'!E:E,"",0,1)*E205</f>
        <v>1300.8000000000002</v>
      </c>
      <c r="G205" s="30">
        <f>_xlfn.XLOOKUP(A205&amp;B205&amp;C205,'Gross Profit &amp; EBITDA'!D:D,'Gross Profit &amp; EBITDA'!F:F,"",0,1)*E205</f>
        <v>325.20000000000005</v>
      </c>
    </row>
    <row r="206" spans="1:7" x14ac:dyDescent="0.2">
      <c r="A206" s="29" t="s">
        <v>15</v>
      </c>
      <c r="B206" s="29">
        <v>2022</v>
      </c>
      <c r="C206" s="29" t="s">
        <v>5</v>
      </c>
      <c r="D206" s="29" t="s">
        <v>6</v>
      </c>
      <c r="E206">
        <f>INDEX('Financials Canada'!$E$7:$N$19,MATCH('Input Data'!D206&amp;C206,'Financials Canada'!$A$7:$A$19,0),MATCH('Input Data'!B206,'Financials Canada'!$E$1:$N$1,0))</f>
        <v>7242</v>
      </c>
      <c r="F206" s="30">
        <f>_xlfn.XLOOKUP(A206&amp;B206&amp;C206,'Gross Profit &amp; EBITDA'!D:D,'Gross Profit &amp; EBITDA'!E:E,"",0,1)*E206</f>
        <v>5069.4000000000005</v>
      </c>
      <c r="G206" s="30">
        <f>_xlfn.XLOOKUP(A206&amp;B206&amp;C206,'Gross Profit &amp; EBITDA'!D:D,'Gross Profit &amp; EBITDA'!F:F,"",0,1)*E206</f>
        <v>1448.4</v>
      </c>
    </row>
    <row r="207" spans="1:7" x14ac:dyDescent="0.2">
      <c r="A207" s="29" t="s">
        <v>15</v>
      </c>
      <c r="B207" s="29">
        <v>2022</v>
      </c>
      <c r="C207" s="29" t="s">
        <v>5</v>
      </c>
      <c r="D207" s="29" t="s">
        <v>4</v>
      </c>
      <c r="E207">
        <f>INDEX('Financials Canada'!$E$7:$N$19,MATCH('Input Data'!D207&amp;C207,'Financials Canada'!$A$7:$A$19,0),MATCH('Input Data'!B207,'Financials Canada'!$E$1:$N$1,0))</f>
        <v>3789</v>
      </c>
      <c r="F207" s="30">
        <f>_xlfn.XLOOKUP(A207&amp;B207&amp;C207,'Gross Profit &amp; EBITDA'!D:D,'Gross Profit &amp; EBITDA'!E:E,"",0,1)*E207</f>
        <v>2652.3</v>
      </c>
      <c r="G207" s="30">
        <f>_xlfn.XLOOKUP(A207&amp;B207&amp;C207,'Gross Profit &amp; EBITDA'!D:D,'Gross Profit &amp; EBITDA'!F:F,"",0,1)*E207</f>
        <v>757.80000000000007</v>
      </c>
    </row>
    <row r="208" spans="1:7" x14ac:dyDescent="0.2">
      <c r="A208" s="29" t="s">
        <v>15</v>
      </c>
      <c r="B208" s="29">
        <v>2022</v>
      </c>
      <c r="C208" s="29" t="s">
        <v>8</v>
      </c>
      <c r="D208" s="29" t="s">
        <v>6</v>
      </c>
      <c r="E208">
        <f>INDEX('Financials Canada'!$E$7:$N$19,MATCH('Input Data'!D208&amp;C208,'Financials Canada'!$A$7:$A$19,0),MATCH('Input Data'!B208,'Financials Canada'!$E$1:$N$1,0))</f>
        <v>2666</v>
      </c>
      <c r="F208" s="30">
        <f>_xlfn.XLOOKUP(A208&amp;B208&amp;C208,'Gross Profit &amp; EBITDA'!D:D,'Gross Profit &amp; EBITDA'!E:E,"",0,1)*E208</f>
        <v>1333</v>
      </c>
      <c r="G208" s="30">
        <f>_xlfn.XLOOKUP(A208&amp;B208&amp;C208,'Gross Profit &amp; EBITDA'!D:D,'Gross Profit &amp; EBITDA'!F:F,"",0,1)*E208</f>
        <v>533.20000000000005</v>
      </c>
    </row>
    <row r="209" spans="1:7" x14ac:dyDescent="0.2">
      <c r="A209" s="29" t="s">
        <v>15</v>
      </c>
      <c r="B209" s="29">
        <v>2022</v>
      </c>
      <c r="C209" s="29" t="s">
        <v>8</v>
      </c>
      <c r="D209" s="29" t="s">
        <v>4</v>
      </c>
      <c r="E209">
        <f>INDEX('Financials Canada'!$E$7:$N$19,MATCH('Input Data'!D209&amp;C209,'Financials Canada'!$A$7:$A$19,0),MATCH('Input Data'!B209,'Financials Canada'!$E$1:$N$1,0))</f>
        <v>1738</v>
      </c>
      <c r="F209" s="30">
        <f>_xlfn.XLOOKUP(A209&amp;B209&amp;C209,'Gross Profit &amp; EBITDA'!D:D,'Gross Profit &amp; EBITDA'!E:E,"",0,1)*E209</f>
        <v>869</v>
      </c>
      <c r="G209" s="30">
        <f>_xlfn.XLOOKUP(A209&amp;B209&amp;C209,'Gross Profit &amp; EBITDA'!D:D,'Gross Profit &amp; EBITDA'!F:F,"",0,1)*E209</f>
        <v>347.6</v>
      </c>
    </row>
    <row r="210" spans="1:7" x14ac:dyDescent="0.2">
      <c r="A210" s="29" t="s">
        <v>15</v>
      </c>
      <c r="B210" s="29">
        <v>2022</v>
      </c>
      <c r="C210" s="29" t="s">
        <v>9</v>
      </c>
      <c r="D210" s="29" t="s">
        <v>6</v>
      </c>
      <c r="E210">
        <f>INDEX('Financials Canada'!$E$7:$N$19,MATCH('Input Data'!D210&amp;C210,'Financials Canada'!$A$7:$A$19,0),MATCH('Input Data'!B210,'Financials Canada'!$E$1:$N$1,0))</f>
        <v>4690</v>
      </c>
      <c r="F210" s="30">
        <f>_xlfn.XLOOKUP(A210&amp;B210&amp;C210,'Gross Profit &amp; EBITDA'!D:D,'Gross Profit &amp; EBITDA'!E:E,"",0,1)*E210</f>
        <v>2345</v>
      </c>
      <c r="G210" s="30">
        <f>_xlfn.XLOOKUP(A210&amp;B210&amp;C210,'Gross Profit &amp; EBITDA'!D:D,'Gross Profit &amp; EBITDA'!F:F,"",0,1)*E210</f>
        <v>469</v>
      </c>
    </row>
    <row r="211" spans="1:7" x14ac:dyDescent="0.2">
      <c r="A211" s="29" t="s">
        <v>15</v>
      </c>
      <c r="B211" s="29">
        <v>2022</v>
      </c>
      <c r="C211" s="29" t="s">
        <v>9</v>
      </c>
      <c r="D211" s="29" t="s">
        <v>4</v>
      </c>
      <c r="E211">
        <f>INDEX('Financials Canada'!$E$7:$N$19,MATCH('Input Data'!D211&amp;C211,'Financials Canada'!$A$7:$A$19,0),MATCH('Input Data'!B211,'Financials Canada'!$E$1:$N$1,0))</f>
        <v>3515</v>
      </c>
      <c r="F211" s="30">
        <f>_xlfn.XLOOKUP(A211&amp;B211&amp;C211,'Gross Profit &amp; EBITDA'!D:D,'Gross Profit &amp; EBITDA'!E:E,"",0,1)*E211</f>
        <v>1757.5</v>
      </c>
      <c r="G211" s="30">
        <f>_xlfn.XLOOKUP(A211&amp;B211&amp;C211,'Gross Profit &amp; EBITDA'!D:D,'Gross Profit &amp; EBITDA'!F:F,"",0,1)*E211</f>
        <v>351.5</v>
      </c>
    </row>
    <row r="212" spans="1:7" x14ac:dyDescent="0.2">
      <c r="A212" s="29" t="s">
        <v>15</v>
      </c>
      <c r="B212" s="29">
        <v>2023</v>
      </c>
      <c r="C212" s="29" t="s">
        <v>5</v>
      </c>
      <c r="D212" s="29" t="s">
        <v>6</v>
      </c>
      <c r="E212">
        <f>INDEX('Financials Canada'!$E$7:$N$19,MATCH('Input Data'!D212&amp;C212,'Financials Canada'!$A$7:$A$19,0),MATCH('Input Data'!B212,'Financials Canada'!$E$1:$N$1,0))</f>
        <v>9330</v>
      </c>
      <c r="F212" s="30">
        <f>_xlfn.XLOOKUP(A212&amp;B212&amp;C212,'Gross Profit &amp; EBITDA'!D:D,'Gross Profit &amp; EBITDA'!E:E,"",0,1)*E212</f>
        <v>6531.0000000000009</v>
      </c>
      <c r="G212" s="30">
        <f>_xlfn.XLOOKUP(A212&amp;B212&amp;C212,'Gross Profit &amp; EBITDA'!D:D,'Gross Profit &amp; EBITDA'!F:F,"",0,1)*E212</f>
        <v>1866</v>
      </c>
    </row>
    <row r="213" spans="1:7" x14ac:dyDescent="0.2">
      <c r="A213" s="29" t="s">
        <v>15</v>
      </c>
      <c r="B213" s="29">
        <v>2023</v>
      </c>
      <c r="C213" s="29" t="s">
        <v>5</v>
      </c>
      <c r="D213" s="29" t="s">
        <v>4</v>
      </c>
      <c r="E213">
        <f>INDEX('Financials Canada'!$E$7:$N$19,MATCH('Input Data'!D213&amp;C213,'Financials Canada'!$A$7:$A$19,0),MATCH('Input Data'!B213,'Financials Canada'!$E$1:$N$1,0))</f>
        <v>2298</v>
      </c>
      <c r="F213" s="30">
        <f>_xlfn.XLOOKUP(A213&amp;B213&amp;C213,'Gross Profit &amp; EBITDA'!D:D,'Gross Profit &amp; EBITDA'!E:E,"",0,1)*E213</f>
        <v>1608.6000000000001</v>
      </c>
      <c r="G213" s="30">
        <f>_xlfn.XLOOKUP(A213&amp;B213&amp;C213,'Gross Profit &amp; EBITDA'!D:D,'Gross Profit &amp; EBITDA'!F:F,"",0,1)*E213</f>
        <v>459.6</v>
      </c>
    </row>
    <row r="214" spans="1:7" x14ac:dyDescent="0.2">
      <c r="A214" s="29" t="s">
        <v>15</v>
      </c>
      <c r="B214" s="29">
        <v>2023</v>
      </c>
      <c r="C214" s="29" t="s">
        <v>8</v>
      </c>
      <c r="D214" s="29" t="s">
        <v>6</v>
      </c>
      <c r="E214">
        <f>INDEX('Financials Canada'!$E$7:$N$19,MATCH('Input Data'!D214&amp;C214,'Financials Canada'!$A$7:$A$19,0),MATCH('Input Data'!B214,'Financials Canada'!$E$1:$N$1,0))</f>
        <v>4027</v>
      </c>
      <c r="F214" s="30">
        <f>_xlfn.XLOOKUP(A214&amp;B214&amp;C214,'Gross Profit &amp; EBITDA'!D:D,'Gross Profit &amp; EBITDA'!E:E,"",0,1)*E214</f>
        <v>2818.9</v>
      </c>
      <c r="G214" s="30">
        <f>_xlfn.XLOOKUP(A214&amp;B214&amp;C214,'Gross Profit &amp; EBITDA'!D:D,'Gross Profit &amp; EBITDA'!F:F,"",0,1)*E214</f>
        <v>805.40000000000009</v>
      </c>
    </row>
    <row r="215" spans="1:7" x14ac:dyDescent="0.2">
      <c r="A215" s="29" t="s">
        <v>15</v>
      </c>
      <c r="B215" s="29">
        <v>2023</v>
      </c>
      <c r="C215" s="29" t="s">
        <v>8</v>
      </c>
      <c r="D215" s="29" t="s">
        <v>4</v>
      </c>
      <c r="E215">
        <f>INDEX('Financials Canada'!$E$7:$N$19,MATCH('Input Data'!D215&amp;C215,'Financials Canada'!$A$7:$A$19,0),MATCH('Input Data'!B215,'Financials Canada'!$E$1:$N$1,0))</f>
        <v>2471</v>
      </c>
      <c r="F215" s="30">
        <f>_xlfn.XLOOKUP(A215&amp;B215&amp;C215,'Gross Profit &amp; EBITDA'!D:D,'Gross Profit &amp; EBITDA'!E:E,"",0,1)*E215</f>
        <v>1729.7000000000003</v>
      </c>
      <c r="G215" s="30">
        <f>_xlfn.XLOOKUP(A215&amp;B215&amp;C215,'Gross Profit &amp; EBITDA'!D:D,'Gross Profit &amp; EBITDA'!F:F,"",0,1)*E215</f>
        <v>494.20000000000005</v>
      </c>
    </row>
    <row r="216" spans="1:7" x14ac:dyDescent="0.2">
      <c r="A216" s="29" t="s">
        <v>15</v>
      </c>
      <c r="B216" s="29">
        <v>2023</v>
      </c>
      <c r="C216" s="29" t="s">
        <v>9</v>
      </c>
      <c r="D216" s="29" t="s">
        <v>6</v>
      </c>
      <c r="E216">
        <f>INDEX('Financials Canada'!$E$7:$N$19,MATCH('Input Data'!D216&amp;C216,'Financials Canada'!$A$7:$A$19,0),MATCH('Input Data'!B216,'Financials Canada'!$E$1:$N$1,0))</f>
        <v>5311</v>
      </c>
      <c r="F216" s="30">
        <f>_xlfn.XLOOKUP(A216&amp;B216&amp;C216,'Gross Profit &amp; EBITDA'!D:D,'Gross Profit &amp; EBITDA'!E:E,"",0,1)*E216</f>
        <v>4248.8</v>
      </c>
      <c r="G216" s="30">
        <f>_xlfn.XLOOKUP(A216&amp;B216&amp;C216,'Gross Profit &amp; EBITDA'!D:D,'Gross Profit &amp; EBITDA'!F:F,"",0,1)*E216</f>
        <v>531.1</v>
      </c>
    </row>
    <row r="217" spans="1:7" x14ac:dyDescent="0.2">
      <c r="A217" s="29" t="s">
        <v>15</v>
      </c>
      <c r="B217" s="29">
        <v>2023</v>
      </c>
      <c r="C217" s="29" t="s">
        <v>9</v>
      </c>
      <c r="D217" s="29" t="s">
        <v>4</v>
      </c>
      <c r="E217">
        <f>INDEX('Financials Canada'!$E$7:$N$19,MATCH('Input Data'!D217&amp;C217,'Financials Canada'!$A$7:$A$19,0),MATCH('Input Data'!B217,'Financials Canada'!$E$1:$N$1,0))</f>
        <v>2532</v>
      </c>
      <c r="F217" s="30">
        <f>_xlfn.XLOOKUP(A217&amp;B217&amp;C217,'Gross Profit &amp; EBITDA'!D:D,'Gross Profit &amp; EBITDA'!E:E,"",0,1)*E217</f>
        <v>2025.6000000000001</v>
      </c>
      <c r="G217" s="30">
        <f>_xlfn.XLOOKUP(A217&amp;B217&amp;C217,'Gross Profit &amp; EBITDA'!D:D,'Gross Profit &amp; EBITDA'!F:F,"",0,1)*E217</f>
        <v>253.20000000000002</v>
      </c>
    </row>
    <row r="218" spans="1:7" x14ac:dyDescent="0.2">
      <c r="A218" s="29" t="s">
        <v>15</v>
      </c>
      <c r="B218" s="29">
        <v>2024</v>
      </c>
      <c r="C218" s="29" t="s">
        <v>5</v>
      </c>
      <c r="D218" s="29" t="s">
        <v>6</v>
      </c>
      <c r="E218">
        <f>INDEX('Financials Canada'!$E$7:$N$19,MATCH('Input Data'!D218&amp;C218,'Financials Canada'!$A$7:$A$19,0),MATCH('Input Data'!B218,'Financials Canada'!$E$1:$N$1,0))</f>
        <v>6979</v>
      </c>
      <c r="F218" s="30">
        <f>_xlfn.XLOOKUP(A218&amp;B218&amp;C218,'Gross Profit &amp; EBITDA'!D:D,'Gross Profit &amp; EBITDA'!E:E,"",0,1)*E218</f>
        <v>4885.3</v>
      </c>
      <c r="G218" s="30">
        <f>_xlfn.XLOOKUP(A218&amp;B218&amp;C218,'Gross Profit &amp; EBITDA'!D:D,'Gross Profit &amp; EBITDA'!F:F,"",0,1)*E218</f>
        <v>697.90000000000009</v>
      </c>
    </row>
    <row r="219" spans="1:7" x14ac:dyDescent="0.2">
      <c r="A219" s="29" t="s">
        <v>15</v>
      </c>
      <c r="B219" s="29">
        <v>2024</v>
      </c>
      <c r="C219" s="29" t="s">
        <v>5</v>
      </c>
      <c r="D219" s="29" t="s">
        <v>4</v>
      </c>
      <c r="E219">
        <f>INDEX('Financials Canada'!$E$7:$N$19,MATCH('Input Data'!D219&amp;C219,'Financials Canada'!$A$7:$A$19,0),MATCH('Input Data'!B219,'Financials Canada'!$E$1:$N$1,0))</f>
        <v>4440</v>
      </c>
      <c r="F219" s="30">
        <f>_xlfn.XLOOKUP(A219&amp;B219&amp;C219,'Gross Profit &amp; EBITDA'!D:D,'Gross Profit &amp; EBITDA'!E:E,"",0,1)*E219</f>
        <v>3108.0000000000005</v>
      </c>
      <c r="G219" s="30">
        <f>_xlfn.XLOOKUP(A219&amp;B219&amp;C219,'Gross Profit &amp; EBITDA'!D:D,'Gross Profit &amp; EBITDA'!F:F,"",0,1)*E219</f>
        <v>444</v>
      </c>
    </row>
    <row r="220" spans="1:7" x14ac:dyDescent="0.2">
      <c r="A220" s="29" t="s">
        <v>15</v>
      </c>
      <c r="B220" s="29">
        <v>2024</v>
      </c>
      <c r="C220" s="29" t="s">
        <v>8</v>
      </c>
      <c r="D220" s="29" t="s">
        <v>6</v>
      </c>
      <c r="E220">
        <f>INDEX('Financials Canada'!$E$7:$N$19,MATCH('Input Data'!D220&amp;C220,'Financials Canada'!$A$7:$A$19,0),MATCH('Input Data'!B220,'Financials Canada'!$E$1:$N$1,0))</f>
        <v>2778</v>
      </c>
      <c r="F220" s="30">
        <f>_xlfn.XLOOKUP(A220&amp;B220&amp;C220,'Gross Profit &amp; EBITDA'!D:D,'Gross Profit &amp; EBITDA'!E:E,"",0,1)*E220</f>
        <v>1389</v>
      </c>
      <c r="G220" s="30">
        <f>_xlfn.XLOOKUP(A220&amp;B220&amp;C220,'Gross Profit &amp; EBITDA'!D:D,'Gross Profit &amp; EBITDA'!F:F,"",0,1)*E220</f>
        <v>555.6</v>
      </c>
    </row>
    <row r="221" spans="1:7" x14ac:dyDescent="0.2">
      <c r="A221" s="29" t="s">
        <v>15</v>
      </c>
      <c r="B221" s="29">
        <v>2024</v>
      </c>
      <c r="C221" s="29" t="s">
        <v>8</v>
      </c>
      <c r="D221" s="29" t="s">
        <v>4</v>
      </c>
      <c r="E221">
        <f>INDEX('Financials Canada'!$E$7:$N$19,MATCH('Input Data'!D221&amp;C221,'Financials Canada'!$A$7:$A$19,0),MATCH('Input Data'!B221,'Financials Canada'!$E$1:$N$1,0))</f>
        <v>1689</v>
      </c>
      <c r="F221" s="30">
        <f>_xlfn.XLOOKUP(A221&amp;B221&amp;C221,'Gross Profit &amp; EBITDA'!D:D,'Gross Profit &amp; EBITDA'!E:E,"",0,1)*E221</f>
        <v>844.5</v>
      </c>
      <c r="G221" s="30">
        <f>_xlfn.XLOOKUP(A221&amp;B221&amp;C221,'Gross Profit &amp; EBITDA'!D:D,'Gross Profit &amp; EBITDA'!F:F,"",0,1)*E221</f>
        <v>337.8</v>
      </c>
    </row>
    <row r="222" spans="1:7" x14ac:dyDescent="0.2">
      <c r="A222" s="29" t="s">
        <v>15</v>
      </c>
      <c r="B222" s="29">
        <v>2024</v>
      </c>
      <c r="C222" s="29" t="s">
        <v>9</v>
      </c>
      <c r="D222" s="29" t="s">
        <v>6</v>
      </c>
      <c r="E222">
        <f>INDEX('Financials Canada'!$E$7:$N$19,MATCH('Input Data'!D222&amp;C222,'Financials Canada'!$A$7:$A$19,0),MATCH('Input Data'!B222,'Financials Canada'!$E$1:$N$1,0))</f>
        <v>6528</v>
      </c>
      <c r="F222" s="30">
        <f>_xlfn.XLOOKUP(A222&amp;B222&amp;C222,'Gross Profit &amp; EBITDA'!D:D,'Gross Profit &amp; EBITDA'!E:E,"",0,1)*E222</f>
        <v>3264</v>
      </c>
      <c r="G222" s="30">
        <f>_xlfn.XLOOKUP(A222&amp;B222&amp;C222,'Gross Profit &amp; EBITDA'!D:D,'Gross Profit &amp; EBITDA'!F:F,"",0,1)*E222</f>
        <v>652.80000000000007</v>
      </c>
    </row>
    <row r="223" spans="1:7" x14ac:dyDescent="0.2">
      <c r="A223" s="29" t="s">
        <v>15</v>
      </c>
      <c r="B223" s="29">
        <v>2024</v>
      </c>
      <c r="C223" s="29" t="s">
        <v>9</v>
      </c>
      <c r="D223" s="29" t="s">
        <v>4</v>
      </c>
      <c r="E223">
        <f>INDEX('Financials Canada'!$E$7:$N$19,MATCH('Input Data'!D223&amp;C223,'Financials Canada'!$A$7:$A$19,0),MATCH('Input Data'!B223,'Financials Canada'!$E$1:$N$1,0))</f>
        <v>1611</v>
      </c>
      <c r="F223" s="30">
        <f>_xlfn.XLOOKUP(A223&amp;B223&amp;C223,'Gross Profit &amp; EBITDA'!D:D,'Gross Profit &amp; EBITDA'!E:E,"",0,1)*E223</f>
        <v>805.5</v>
      </c>
      <c r="G223" s="30">
        <f>_xlfn.XLOOKUP(A223&amp;B223&amp;C223,'Gross Profit &amp; EBITDA'!D:D,'Gross Profit &amp; EBITDA'!F:F,"",0,1)*E223</f>
        <v>161.10000000000002</v>
      </c>
    </row>
    <row r="224" spans="1:7" x14ac:dyDescent="0.2">
      <c r="A224" s="29" t="s">
        <v>15</v>
      </c>
      <c r="B224" s="29">
        <v>2025</v>
      </c>
      <c r="C224" s="29" t="s">
        <v>5</v>
      </c>
      <c r="D224" s="29" t="s">
        <v>6</v>
      </c>
      <c r="E224">
        <f>INDEX('Financials Canada'!$E$7:$N$19,MATCH('Input Data'!D224&amp;C224,'Financials Canada'!$A$7:$A$19,0),MATCH('Input Data'!B224,'Financials Canada'!$E$1:$N$1,0))</f>
        <v>8809</v>
      </c>
      <c r="F224" s="30">
        <f>_xlfn.XLOOKUP(A224&amp;B224&amp;C224,'Gross Profit &amp; EBITDA'!D:D,'Gross Profit &amp; EBITDA'!E:E,"",0,1)*E224</f>
        <v>4404.5</v>
      </c>
      <c r="G224" s="30">
        <f>_xlfn.XLOOKUP(A224&amp;B224&amp;C224,'Gross Profit &amp; EBITDA'!D:D,'Gross Profit &amp; EBITDA'!F:F,"",0,1)*E224</f>
        <v>880.90000000000009</v>
      </c>
    </row>
    <row r="225" spans="1:7" x14ac:dyDescent="0.2">
      <c r="A225" s="29" t="s">
        <v>15</v>
      </c>
      <c r="B225" s="29">
        <v>2025</v>
      </c>
      <c r="C225" s="29" t="s">
        <v>5</v>
      </c>
      <c r="D225" s="29" t="s">
        <v>4</v>
      </c>
      <c r="E225">
        <f>INDEX('Financials Canada'!$E$7:$N$19,MATCH('Input Data'!D225&amp;C225,'Financials Canada'!$A$7:$A$19,0),MATCH('Input Data'!B225,'Financials Canada'!$E$1:$N$1,0))</f>
        <v>4901</v>
      </c>
      <c r="F225" s="30">
        <f>_xlfn.XLOOKUP(A225&amp;B225&amp;C225,'Gross Profit &amp; EBITDA'!D:D,'Gross Profit &amp; EBITDA'!E:E,"",0,1)*E225</f>
        <v>2450.5</v>
      </c>
      <c r="G225" s="30">
        <f>_xlfn.XLOOKUP(A225&amp;B225&amp;C225,'Gross Profit &amp; EBITDA'!D:D,'Gross Profit &amp; EBITDA'!F:F,"",0,1)*E225</f>
        <v>490.1</v>
      </c>
    </row>
    <row r="226" spans="1:7" x14ac:dyDescent="0.2">
      <c r="A226" s="29" t="s">
        <v>15</v>
      </c>
      <c r="B226" s="29">
        <v>2025</v>
      </c>
      <c r="C226" s="29" t="s">
        <v>8</v>
      </c>
      <c r="D226" s="29" t="s">
        <v>6</v>
      </c>
      <c r="E226">
        <f>INDEX('Financials Canada'!$E$7:$N$19,MATCH('Input Data'!D226&amp;C226,'Financials Canada'!$A$7:$A$19,0),MATCH('Input Data'!B226,'Financials Canada'!$E$1:$N$1,0))</f>
        <v>5369</v>
      </c>
      <c r="F226" s="30">
        <f>_xlfn.XLOOKUP(A226&amp;B226&amp;C226,'Gross Profit &amp; EBITDA'!D:D,'Gross Profit &amp; EBITDA'!E:E,"",0,1)*E226</f>
        <v>2684.5</v>
      </c>
      <c r="G226" s="30">
        <f>_xlfn.XLOOKUP(A226&amp;B226&amp;C226,'Gross Profit &amp; EBITDA'!D:D,'Gross Profit &amp; EBITDA'!F:F,"",0,1)*E226</f>
        <v>1073.8</v>
      </c>
    </row>
    <row r="227" spans="1:7" x14ac:dyDescent="0.2">
      <c r="A227" s="29" t="s">
        <v>15</v>
      </c>
      <c r="B227" s="29">
        <v>2025</v>
      </c>
      <c r="C227" s="29" t="s">
        <v>8</v>
      </c>
      <c r="D227" s="29" t="s">
        <v>4</v>
      </c>
      <c r="E227">
        <f>INDEX('Financials Canada'!$E$7:$N$19,MATCH('Input Data'!D227&amp;C227,'Financials Canada'!$A$7:$A$19,0),MATCH('Input Data'!B227,'Financials Canada'!$E$1:$N$1,0))</f>
        <v>2300</v>
      </c>
      <c r="F227" s="30">
        <f>_xlfn.XLOOKUP(A227&amp;B227&amp;C227,'Gross Profit &amp; EBITDA'!D:D,'Gross Profit &amp; EBITDA'!E:E,"",0,1)*E227</f>
        <v>1150</v>
      </c>
      <c r="G227" s="30">
        <f>_xlfn.XLOOKUP(A227&amp;B227&amp;C227,'Gross Profit &amp; EBITDA'!D:D,'Gross Profit &amp; EBITDA'!F:F,"",0,1)*E227</f>
        <v>460</v>
      </c>
    </row>
    <row r="228" spans="1:7" x14ac:dyDescent="0.2">
      <c r="A228" s="29" t="s">
        <v>15</v>
      </c>
      <c r="B228" s="29">
        <v>2025</v>
      </c>
      <c r="C228" s="29" t="s">
        <v>9</v>
      </c>
      <c r="D228" s="29" t="s">
        <v>6</v>
      </c>
      <c r="E228">
        <f>INDEX('Financials Canada'!$E$7:$N$19,MATCH('Input Data'!D228&amp;C228,'Financials Canada'!$A$7:$A$19,0),MATCH('Input Data'!B228,'Financials Canada'!$E$1:$N$1,0))</f>
        <v>7646</v>
      </c>
      <c r="F228" s="30">
        <f>_xlfn.XLOOKUP(A228&amp;B228&amp;C228,'Gross Profit &amp; EBITDA'!D:D,'Gross Profit &amp; EBITDA'!E:E,"",0,1)*E228</f>
        <v>3823</v>
      </c>
      <c r="G228" s="30">
        <f>_xlfn.XLOOKUP(A228&amp;B228&amp;C228,'Gross Profit &amp; EBITDA'!D:D,'Gross Profit &amp; EBITDA'!F:F,"",0,1)*E228</f>
        <v>1529.2</v>
      </c>
    </row>
    <row r="229" spans="1:7" x14ac:dyDescent="0.2">
      <c r="A229" s="29" t="s">
        <v>15</v>
      </c>
      <c r="B229" s="29">
        <v>2025</v>
      </c>
      <c r="C229" s="29" t="s">
        <v>9</v>
      </c>
      <c r="D229" s="29" t="s">
        <v>4</v>
      </c>
      <c r="E229">
        <f>INDEX('Financials Canada'!$E$7:$N$19,MATCH('Input Data'!D229&amp;C229,'Financials Canada'!$A$7:$A$19,0),MATCH('Input Data'!B229,'Financials Canada'!$E$1:$N$1,0))</f>
        <v>455</v>
      </c>
      <c r="F229" s="30">
        <f>_xlfn.XLOOKUP(A229&amp;B229&amp;C229,'Gross Profit &amp; EBITDA'!D:D,'Gross Profit &amp; EBITDA'!E:E,"",0,1)*E229</f>
        <v>227.5</v>
      </c>
      <c r="G229" s="30">
        <f>_xlfn.XLOOKUP(A229&amp;B229&amp;C229,'Gross Profit &amp; EBITDA'!D:D,'Gross Profit &amp; EBITDA'!F:F,"",0,1)*E229</f>
        <v>91</v>
      </c>
    </row>
    <row r="230" spans="1:7" x14ac:dyDescent="0.2">
      <c r="A230" s="29" t="s">
        <v>15</v>
      </c>
      <c r="B230" s="29">
        <v>2026</v>
      </c>
      <c r="C230" s="29" t="s">
        <v>5</v>
      </c>
      <c r="D230" s="29" t="s">
        <v>6</v>
      </c>
      <c r="E230">
        <f>INDEX('Financials Canada'!$E$7:$N$19,MATCH('Input Data'!D230&amp;C230,'Financials Canada'!$A$7:$A$19,0),MATCH('Input Data'!B230,'Financials Canada'!$E$1:$N$1,0))</f>
        <v>8073</v>
      </c>
      <c r="F230" s="30">
        <f>_xlfn.XLOOKUP(A230&amp;B230&amp;C230,'Gross Profit &amp; EBITDA'!D:D,'Gross Profit &amp; EBITDA'!E:E,"",0,1)*E230</f>
        <v>4843.8000000000011</v>
      </c>
      <c r="G230" s="30">
        <f>_xlfn.XLOOKUP(A230&amp;B230&amp;C230,'Gross Profit &amp; EBITDA'!D:D,'Gross Profit &amp; EBITDA'!F:F,"",0,1)*E230</f>
        <v>1614.6000000000001</v>
      </c>
    </row>
    <row r="231" spans="1:7" x14ac:dyDescent="0.2">
      <c r="A231" s="29" t="s">
        <v>15</v>
      </c>
      <c r="B231" s="29">
        <v>2026</v>
      </c>
      <c r="C231" s="29" t="s">
        <v>5</v>
      </c>
      <c r="D231" s="29" t="s">
        <v>4</v>
      </c>
      <c r="E231">
        <f>INDEX('Financials Canada'!$E$7:$N$19,MATCH('Input Data'!D231&amp;C231,'Financials Canada'!$A$7:$A$19,0),MATCH('Input Data'!B231,'Financials Canada'!$E$1:$N$1,0))</f>
        <v>3828</v>
      </c>
      <c r="F231" s="30">
        <f>_xlfn.XLOOKUP(A231&amp;B231&amp;C231,'Gross Profit &amp; EBITDA'!D:D,'Gross Profit &amp; EBITDA'!E:E,"",0,1)*E231</f>
        <v>2296.8000000000002</v>
      </c>
      <c r="G231" s="30">
        <f>_xlfn.XLOOKUP(A231&amp;B231&amp;C231,'Gross Profit &amp; EBITDA'!D:D,'Gross Profit &amp; EBITDA'!F:F,"",0,1)*E231</f>
        <v>765.6</v>
      </c>
    </row>
    <row r="232" spans="1:7" x14ac:dyDescent="0.2">
      <c r="A232" s="29" t="s">
        <v>15</v>
      </c>
      <c r="B232" s="29">
        <v>2026</v>
      </c>
      <c r="C232" s="29" t="s">
        <v>8</v>
      </c>
      <c r="D232" s="29" t="s">
        <v>6</v>
      </c>
      <c r="E232">
        <f>INDEX('Financials Canada'!$E$7:$N$19,MATCH('Input Data'!D232&amp;C232,'Financials Canada'!$A$7:$A$19,0),MATCH('Input Data'!B232,'Financials Canada'!$E$1:$N$1,0))</f>
        <v>4109</v>
      </c>
      <c r="F232" s="30">
        <f>_xlfn.XLOOKUP(A232&amp;B232&amp;C232,'Gross Profit &amp; EBITDA'!D:D,'Gross Profit &amp; EBITDA'!E:E,"",0,1)*E232</f>
        <v>3287.2000000000003</v>
      </c>
      <c r="G232" s="30">
        <f>_xlfn.XLOOKUP(A232&amp;B232&amp;C232,'Gross Profit &amp; EBITDA'!D:D,'Gross Profit &amp; EBITDA'!F:F,"",0,1)*E232</f>
        <v>410.90000000000003</v>
      </c>
    </row>
    <row r="233" spans="1:7" x14ac:dyDescent="0.2">
      <c r="A233" s="29" t="s">
        <v>15</v>
      </c>
      <c r="B233" s="29">
        <v>2026</v>
      </c>
      <c r="C233" s="29" t="s">
        <v>8</v>
      </c>
      <c r="D233" s="29" t="s">
        <v>4</v>
      </c>
      <c r="E233">
        <f>INDEX('Financials Canada'!$E$7:$N$19,MATCH('Input Data'!D233&amp;C233,'Financials Canada'!$A$7:$A$19,0),MATCH('Input Data'!B233,'Financials Canada'!$E$1:$N$1,0))</f>
        <v>3500</v>
      </c>
      <c r="F233" s="30">
        <f>_xlfn.XLOOKUP(A233&amp;B233&amp;C233,'Gross Profit &amp; EBITDA'!D:D,'Gross Profit &amp; EBITDA'!E:E,"",0,1)*E233</f>
        <v>2800</v>
      </c>
      <c r="G233" s="30">
        <f>_xlfn.XLOOKUP(A233&amp;B233&amp;C233,'Gross Profit &amp; EBITDA'!D:D,'Gross Profit &amp; EBITDA'!F:F,"",0,1)*E233</f>
        <v>350</v>
      </c>
    </row>
    <row r="234" spans="1:7" x14ac:dyDescent="0.2">
      <c r="A234" s="29" t="s">
        <v>15</v>
      </c>
      <c r="B234" s="29">
        <v>2026</v>
      </c>
      <c r="C234" s="29" t="s">
        <v>9</v>
      </c>
      <c r="D234" s="29" t="s">
        <v>6</v>
      </c>
      <c r="E234">
        <f>INDEX('Financials Canada'!$E$7:$N$19,MATCH('Input Data'!D234&amp;C234,'Financials Canada'!$A$7:$A$19,0),MATCH('Input Data'!B234,'Financials Canada'!$E$1:$N$1,0))</f>
        <v>5449</v>
      </c>
      <c r="F234" s="30">
        <f>_xlfn.XLOOKUP(A234&amp;B234&amp;C234,'Gross Profit &amp; EBITDA'!D:D,'Gross Profit &amp; EBITDA'!E:E,"",0,1)*E234</f>
        <v>4359.2</v>
      </c>
      <c r="G234" s="30">
        <f>_xlfn.XLOOKUP(A234&amp;B234&amp;C234,'Gross Profit &amp; EBITDA'!D:D,'Gross Profit &amp; EBITDA'!F:F,"",0,1)*E234</f>
        <v>544.9</v>
      </c>
    </row>
    <row r="235" spans="1:7" x14ac:dyDescent="0.2">
      <c r="A235" s="29" t="s">
        <v>15</v>
      </c>
      <c r="B235" s="29">
        <v>2026</v>
      </c>
      <c r="C235" s="29" t="s">
        <v>9</v>
      </c>
      <c r="D235" s="29" t="s">
        <v>4</v>
      </c>
      <c r="E235">
        <f>INDEX('Financials Canada'!$E$7:$N$19,MATCH('Input Data'!D235&amp;C235,'Financials Canada'!$A$7:$A$19,0),MATCH('Input Data'!B235,'Financials Canada'!$E$1:$N$1,0))</f>
        <v>3022</v>
      </c>
      <c r="F235" s="30">
        <f>_xlfn.XLOOKUP(A235&amp;B235&amp;C235,'Gross Profit &amp; EBITDA'!D:D,'Gross Profit &amp; EBITDA'!E:E,"",0,1)*E235</f>
        <v>2417.6</v>
      </c>
      <c r="G235" s="30">
        <f>_xlfn.XLOOKUP(A235&amp;B235&amp;C235,'Gross Profit &amp; EBITDA'!D:D,'Gross Profit &amp; EBITDA'!F:F,"",0,1)*E235</f>
        <v>302.2</v>
      </c>
    </row>
    <row r="236" spans="1:7" x14ac:dyDescent="0.2">
      <c r="A236" s="29" t="s">
        <v>15</v>
      </c>
      <c r="B236" s="29">
        <v>2027</v>
      </c>
      <c r="C236" s="29" t="s">
        <v>5</v>
      </c>
      <c r="D236" s="29" t="s">
        <v>6</v>
      </c>
      <c r="E236">
        <f>INDEX('Financials Canada'!$E$7:$N$19,MATCH('Input Data'!D236&amp;C236,'Financials Canada'!$A$7:$A$19,0),MATCH('Input Data'!B236,'Financials Canada'!$E$1:$N$1,0))</f>
        <v>7814</v>
      </c>
      <c r="F236" s="30">
        <f>_xlfn.XLOOKUP(A236&amp;B236&amp;C236,'Gross Profit &amp; EBITDA'!D:D,'Gross Profit &amp; EBITDA'!E:E,"",0,1)*E236</f>
        <v>3907</v>
      </c>
      <c r="G236" s="30">
        <f>_xlfn.XLOOKUP(A236&amp;B236&amp;C236,'Gross Profit &amp; EBITDA'!D:D,'Gross Profit &amp; EBITDA'!F:F,"",0,1)*E236</f>
        <v>1562.8000000000002</v>
      </c>
    </row>
    <row r="237" spans="1:7" x14ac:dyDescent="0.2">
      <c r="A237" s="29" t="s">
        <v>15</v>
      </c>
      <c r="B237" s="29">
        <v>2027</v>
      </c>
      <c r="C237" s="29" t="s">
        <v>5</v>
      </c>
      <c r="D237" s="29" t="s">
        <v>4</v>
      </c>
      <c r="E237">
        <f>INDEX('Financials Canada'!$E$7:$N$19,MATCH('Input Data'!D237&amp;C237,'Financials Canada'!$A$7:$A$19,0),MATCH('Input Data'!B237,'Financials Canada'!$E$1:$N$1,0))</f>
        <v>1808</v>
      </c>
      <c r="F237" s="30">
        <f>_xlfn.XLOOKUP(A237&amp;B237&amp;C237,'Gross Profit &amp; EBITDA'!D:D,'Gross Profit &amp; EBITDA'!E:E,"",0,1)*E237</f>
        <v>904</v>
      </c>
      <c r="G237" s="30">
        <f>_xlfn.XLOOKUP(A237&amp;B237&amp;C237,'Gross Profit &amp; EBITDA'!D:D,'Gross Profit &amp; EBITDA'!F:F,"",0,1)*E237</f>
        <v>361.6</v>
      </c>
    </row>
    <row r="238" spans="1:7" x14ac:dyDescent="0.2">
      <c r="A238" s="29" t="s">
        <v>15</v>
      </c>
      <c r="B238" s="29">
        <v>2027</v>
      </c>
      <c r="C238" s="29" t="s">
        <v>8</v>
      </c>
      <c r="D238" s="29" t="s">
        <v>6</v>
      </c>
      <c r="E238">
        <f>INDEX('Financials Canada'!$E$7:$N$19,MATCH('Input Data'!D238&amp;C238,'Financials Canada'!$A$7:$A$19,0),MATCH('Input Data'!B238,'Financials Canada'!$E$1:$N$1,0))</f>
        <v>3706</v>
      </c>
      <c r="F238" s="30">
        <f>_xlfn.XLOOKUP(A238&amp;B238&amp;C238,'Gross Profit &amp; EBITDA'!D:D,'Gross Profit &amp; EBITDA'!E:E,"",0,1)*E238</f>
        <v>2594.2000000000003</v>
      </c>
      <c r="G238" s="30">
        <f>_xlfn.XLOOKUP(A238&amp;B238&amp;C238,'Gross Profit &amp; EBITDA'!D:D,'Gross Profit &amp; EBITDA'!F:F,"",0,1)*E238</f>
        <v>741.2</v>
      </c>
    </row>
    <row r="239" spans="1:7" x14ac:dyDescent="0.2">
      <c r="A239" s="29" t="s">
        <v>15</v>
      </c>
      <c r="B239" s="29">
        <v>2027</v>
      </c>
      <c r="C239" s="29" t="s">
        <v>8</v>
      </c>
      <c r="D239" s="29" t="s">
        <v>4</v>
      </c>
      <c r="E239">
        <f>INDEX('Financials Canada'!$E$7:$N$19,MATCH('Input Data'!D239&amp;C239,'Financials Canada'!$A$7:$A$19,0),MATCH('Input Data'!B239,'Financials Canada'!$E$1:$N$1,0))</f>
        <v>2150</v>
      </c>
      <c r="F239" s="30">
        <f>_xlfn.XLOOKUP(A239&amp;B239&amp;C239,'Gross Profit &amp; EBITDA'!D:D,'Gross Profit &amp; EBITDA'!E:E,"",0,1)*E239</f>
        <v>1505.0000000000002</v>
      </c>
      <c r="G239" s="30">
        <f>_xlfn.XLOOKUP(A239&amp;B239&amp;C239,'Gross Profit &amp; EBITDA'!D:D,'Gross Profit &amp; EBITDA'!F:F,"",0,1)*E239</f>
        <v>430</v>
      </c>
    </row>
    <row r="240" spans="1:7" x14ac:dyDescent="0.2">
      <c r="A240" s="29" t="s">
        <v>15</v>
      </c>
      <c r="B240" s="29">
        <v>2027</v>
      </c>
      <c r="C240" s="29" t="s">
        <v>9</v>
      </c>
      <c r="D240" s="29" t="s">
        <v>6</v>
      </c>
      <c r="E240">
        <f>INDEX('Financials Canada'!$E$7:$N$19,MATCH('Input Data'!D240&amp;C240,'Financials Canada'!$A$7:$A$19,0),MATCH('Input Data'!B240,'Financials Canada'!$E$1:$N$1,0))</f>
        <v>4586</v>
      </c>
      <c r="F240" s="30">
        <f>_xlfn.XLOOKUP(A240&amp;B240&amp;C240,'Gross Profit &amp; EBITDA'!D:D,'Gross Profit &amp; EBITDA'!E:E,"",0,1)*E240</f>
        <v>2751.6000000000004</v>
      </c>
      <c r="G240" s="30">
        <f>_xlfn.XLOOKUP(A240&amp;B240&amp;C240,'Gross Profit &amp; EBITDA'!D:D,'Gross Profit &amp; EBITDA'!F:F,"",0,1)*E240</f>
        <v>458.6</v>
      </c>
    </row>
    <row r="241" spans="1:7" x14ac:dyDescent="0.2">
      <c r="A241" s="29" t="s">
        <v>15</v>
      </c>
      <c r="B241" s="29">
        <v>2027</v>
      </c>
      <c r="C241" s="29" t="s">
        <v>9</v>
      </c>
      <c r="D241" s="29" t="s">
        <v>4</v>
      </c>
      <c r="E241">
        <f>INDEX('Financials Canada'!$E$7:$N$19,MATCH('Input Data'!D241&amp;C241,'Financials Canada'!$A$7:$A$19,0),MATCH('Input Data'!B241,'Financials Canada'!$E$1:$N$1,0))</f>
        <v>3867</v>
      </c>
      <c r="F241" s="30">
        <f>_xlfn.XLOOKUP(A241&amp;B241&amp;C241,'Gross Profit &amp; EBITDA'!D:D,'Gross Profit &amp; EBITDA'!E:E,"",0,1)*E241</f>
        <v>2320.2000000000003</v>
      </c>
      <c r="G241" s="30">
        <f>_xlfn.XLOOKUP(A241&amp;B241&amp;C241,'Gross Profit &amp; EBITDA'!D:D,'Gross Profit &amp; EBITDA'!F:F,"",0,1)*E241</f>
        <v>386.70000000000005</v>
      </c>
    </row>
  </sheetData>
  <pageMargins left="0.7" right="0.7" top="0.75" bottom="0.75" header="0.3" footer="0.3"/>
  <tableParts count="2">
    <tablePart r:id="rId7"/>
    <tablePart r:id="rId8"/>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F96C9-81F5-B84A-BB4A-FF3FCDC315BA}">
  <dimension ref="A1:O41"/>
  <sheetViews>
    <sheetView showGridLines="0" workbookViewId="0">
      <selection activeCell="A7" sqref="A7"/>
    </sheetView>
  </sheetViews>
  <sheetFormatPr baseColWidth="10" defaultRowHeight="16" x14ac:dyDescent="0.2"/>
  <cols>
    <col min="1" max="1" width="26.6640625" bestFit="1" customWidth="1"/>
    <col min="2" max="2" width="12.5" style="1" bestFit="1" customWidth="1"/>
    <col min="3" max="3" width="18" bestFit="1" customWidth="1"/>
    <col min="4" max="4" width="10.5" bestFit="1" customWidth="1"/>
    <col min="5" max="5" width="10.33203125" bestFit="1" customWidth="1"/>
    <col min="6" max="14" width="11.33203125" bestFit="1" customWidth="1"/>
    <col min="15" max="15" width="5.6640625" bestFit="1" customWidth="1"/>
  </cols>
  <sheetData>
    <row r="1" spans="1:15" x14ac:dyDescent="0.2">
      <c r="D1" s="2" t="s">
        <v>0</v>
      </c>
      <c r="E1" s="3">
        <v>2018</v>
      </c>
      <c r="F1" s="3">
        <v>2019</v>
      </c>
      <c r="G1" s="3">
        <v>2020</v>
      </c>
      <c r="H1" s="3">
        <v>2021</v>
      </c>
      <c r="I1" s="3">
        <v>2022</v>
      </c>
      <c r="J1" s="3">
        <v>2023</v>
      </c>
      <c r="K1" s="3">
        <v>2024</v>
      </c>
      <c r="L1" s="3">
        <v>2025</v>
      </c>
      <c r="M1" s="3">
        <v>2026</v>
      </c>
      <c r="N1" s="3">
        <v>2027</v>
      </c>
    </row>
    <row r="2" spans="1:15" x14ac:dyDescent="0.2">
      <c r="D2" s="4" t="s">
        <v>1</v>
      </c>
      <c r="E2" s="5"/>
      <c r="F2" s="6">
        <v>43466</v>
      </c>
      <c r="G2" s="6">
        <v>43831</v>
      </c>
      <c r="H2" s="6">
        <v>44197</v>
      </c>
      <c r="I2" s="6">
        <v>44562</v>
      </c>
      <c r="J2" s="6">
        <v>44927</v>
      </c>
      <c r="K2" s="6">
        <v>45292</v>
      </c>
      <c r="L2" s="6">
        <v>45658</v>
      </c>
      <c r="M2" s="6">
        <v>46023</v>
      </c>
      <c r="N2" s="6">
        <v>46388</v>
      </c>
    </row>
    <row r="3" spans="1:15" x14ac:dyDescent="0.2">
      <c r="D3" s="4" t="s">
        <v>2</v>
      </c>
      <c r="E3" s="6">
        <v>43465</v>
      </c>
      <c r="F3" s="6">
        <v>43830</v>
      </c>
      <c r="G3" s="6">
        <v>44196</v>
      </c>
      <c r="H3" s="6">
        <v>44561</v>
      </c>
      <c r="I3" s="6">
        <v>44926</v>
      </c>
      <c r="J3" s="6">
        <v>45291</v>
      </c>
      <c r="K3" s="6">
        <v>45657</v>
      </c>
      <c r="L3" s="6">
        <v>46022</v>
      </c>
      <c r="M3" s="6">
        <v>46387</v>
      </c>
      <c r="N3" s="6">
        <v>46752</v>
      </c>
    </row>
    <row r="4" spans="1:15" x14ac:dyDescent="0.2">
      <c r="D4" s="7"/>
    </row>
    <row r="5" spans="1:15" x14ac:dyDescent="0.2">
      <c r="D5" s="7"/>
    </row>
    <row r="6" spans="1:15" x14ac:dyDescent="0.2">
      <c r="A6" t="s">
        <v>21</v>
      </c>
      <c r="B6" s="1" t="s">
        <v>3</v>
      </c>
      <c r="C6" s="8" t="s">
        <v>16</v>
      </c>
      <c r="D6" s="9"/>
      <c r="E6" s="8"/>
      <c r="F6" s="8"/>
      <c r="G6" s="8"/>
      <c r="H6" s="8"/>
      <c r="I6" s="8"/>
      <c r="J6" s="8"/>
      <c r="K6" s="8"/>
      <c r="L6" s="8"/>
      <c r="M6" s="8"/>
      <c r="N6" s="8"/>
    </row>
    <row r="7" spans="1:15" x14ac:dyDescent="0.2">
      <c r="A7" t="str">
        <f>B7&amp;C7</f>
        <v>SMBArtificial Intelligence</v>
      </c>
      <c r="B7" s="10" t="s">
        <v>4</v>
      </c>
      <c r="C7" s="11" t="s">
        <v>5</v>
      </c>
      <c r="D7" s="7"/>
      <c r="E7" s="12">
        <v>1869</v>
      </c>
      <c r="F7" s="12">
        <v>3211</v>
      </c>
      <c r="G7" s="12">
        <v>4810</v>
      </c>
      <c r="H7" s="12">
        <v>7470</v>
      </c>
      <c r="I7" s="12">
        <v>11367</v>
      </c>
      <c r="J7" s="12">
        <v>6894</v>
      </c>
      <c r="K7" s="12">
        <v>8880</v>
      </c>
      <c r="L7" s="12">
        <v>4901</v>
      </c>
      <c r="M7" s="12">
        <v>3828</v>
      </c>
      <c r="N7" s="12">
        <v>5424</v>
      </c>
    </row>
    <row r="8" spans="1:15" x14ac:dyDescent="0.2">
      <c r="A8" t="str">
        <f t="shared" ref="A8:A19" si="0">B8&amp;C8</f>
        <v>EnterpriseArtificial Intelligence</v>
      </c>
      <c r="B8" s="13" t="s">
        <v>6</v>
      </c>
      <c r="C8" s="14" t="s">
        <v>5</v>
      </c>
      <c r="D8" s="15"/>
      <c r="E8" s="16">
        <v>23961</v>
      </c>
      <c r="F8" s="16">
        <v>15956</v>
      </c>
      <c r="G8" s="16">
        <v>16090</v>
      </c>
      <c r="H8" s="16">
        <v>15225</v>
      </c>
      <c r="I8" s="16">
        <v>14484</v>
      </c>
      <c r="J8" s="16">
        <v>18660</v>
      </c>
      <c r="K8" s="16">
        <v>13958</v>
      </c>
      <c r="L8" s="16">
        <v>26427</v>
      </c>
      <c r="M8" s="16">
        <v>24219</v>
      </c>
      <c r="N8" s="16">
        <v>23442</v>
      </c>
      <c r="O8" s="17"/>
    </row>
    <row r="9" spans="1:15" x14ac:dyDescent="0.2">
      <c r="B9" s="10"/>
      <c r="C9" s="18" t="s">
        <v>7</v>
      </c>
      <c r="D9" s="19"/>
      <c r="E9" s="20">
        <f>SUM(E7:E8)</f>
        <v>25830</v>
      </c>
      <c r="F9" s="20">
        <f t="shared" ref="F9:N9" si="1">SUM(F7:F8)</f>
        <v>19167</v>
      </c>
      <c r="G9" s="20">
        <f t="shared" si="1"/>
        <v>20900</v>
      </c>
      <c r="H9" s="20">
        <f t="shared" si="1"/>
        <v>22695</v>
      </c>
      <c r="I9" s="20">
        <f t="shared" si="1"/>
        <v>25851</v>
      </c>
      <c r="J9" s="20">
        <f t="shared" si="1"/>
        <v>25554</v>
      </c>
      <c r="K9" s="20">
        <f t="shared" si="1"/>
        <v>22838</v>
      </c>
      <c r="L9" s="20">
        <f t="shared" si="1"/>
        <v>31328</v>
      </c>
      <c r="M9" s="20">
        <f t="shared" si="1"/>
        <v>28047</v>
      </c>
      <c r="N9" s="20">
        <f t="shared" si="1"/>
        <v>28866</v>
      </c>
    </row>
    <row r="10" spans="1:15" x14ac:dyDescent="0.2">
      <c r="A10" t="str">
        <f t="shared" si="0"/>
        <v/>
      </c>
      <c r="D10" s="7"/>
      <c r="E10" s="12"/>
      <c r="F10" s="12"/>
      <c r="G10" s="12"/>
      <c r="H10" s="12"/>
      <c r="I10" s="12"/>
      <c r="J10" s="12"/>
      <c r="K10" s="12"/>
      <c r="L10" s="12"/>
      <c r="M10" s="12"/>
      <c r="N10" s="12"/>
    </row>
    <row r="11" spans="1:15" x14ac:dyDescent="0.2">
      <c r="A11" t="str">
        <f t="shared" si="0"/>
        <v/>
      </c>
      <c r="D11" s="7"/>
      <c r="E11" s="12"/>
      <c r="F11" s="12"/>
      <c r="G11" s="12"/>
      <c r="H11" s="12"/>
      <c r="I11" s="12"/>
      <c r="J11" s="12"/>
      <c r="K11" s="12"/>
      <c r="L11" s="12"/>
      <c r="M11" s="12"/>
      <c r="N11" s="12"/>
    </row>
    <row r="12" spans="1:15" x14ac:dyDescent="0.2">
      <c r="A12" t="str">
        <f t="shared" si="0"/>
        <v>SMBMarketing</v>
      </c>
      <c r="B12" s="10" t="s">
        <v>4</v>
      </c>
      <c r="C12" s="11" t="s">
        <v>8</v>
      </c>
      <c r="D12" s="7"/>
      <c r="E12" s="12">
        <v>5607</v>
      </c>
      <c r="F12" s="12">
        <v>12844</v>
      </c>
      <c r="G12" s="12">
        <v>9620</v>
      </c>
      <c r="H12" s="12">
        <v>29880</v>
      </c>
      <c r="I12" s="12">
        <v>22734</v>
      </c>
      <c r="J12" s="12">
        <v>13788</v>
      </c>
      <c r="K12" s="12">
        <v>53280</v>
      </c>
      <c r="L12" s="12">
        <v>14703</v>
      </c>
      <c r="M12" s="12">
        <v>3828</v>
      </c>
      <c r="N12" s="12">
        <v>5424</v>
      </c>
    </row>
    <row r="13" spans="1:15" x14ac:dyDescent="0.2">
      <c r="A13" t="str">
        <f t="shared" si="0"/>
        <v>EnterpriseMarketing</v>
      </c>
      <c r="B13" s="13" t="s">
        <v>6</v>
      </c>
      <c r="C13" s="14" t="s">
        <v>8</v>
      </c>
      <c r="D13" s="15"/>
      <c r="E13" s="16">
        <v>23961</v>
      </c>
      <c r="F13" s="16">
        <v>95736</v>
      </c>
      <c r="G13" s="16">
        <v>16090</v>
      </c>
      <c r="H13" s="16">
        <v>91350</v>
      </c>
      <c r="I13" s="16">
        <v>86904</v>
      </c>
      <c r="J13" s="16">
        <v>111960</v>
      </c>
      <c r="K13" s="16">
        <v>41874</v>
      </c>
      <c r="L13" s="16">
        <v>52854</v>
      </c>
      <c r="M13" s="16">
        <v>96876</v>
      </c>
      <c r="N13" s="16">
        <v>140652</v>
      </c>
    </row>
    <row r="14" spans="1:15" x14ac:dyDescent="0.2">
      <c r="C14" s="18" t="s">
        <v>7</v>
      </c>
      <c r="D14" s="7"/>
      <c r="E14" s="20">
        <f>SUM(E12:E13)</f>
        <v>29568</v>
      </c>
      <c r="F14" s="20">
        <f t="shared" ref="F14:N14" si="2">SUM(F12:F13)</f>
        <v>108580</v>
      </c>
      <c r="G14" s="20">
        <f t="shared" si="2"/>
        <v>25710</v>
      </c>
      <c r="H14" s="20">
        <f t="shared" si="2"/>
        <v>121230</v>
      </c>
      <c r="I14" s="20">
        <f t="shared" si="2"/>
        <v>109638</v>
      </c>
      <c r="J14" s="20">
        <f t="shared" si="2"/>
        <v>125748</v>
      </c>
      <c r="K14" s="20">
        <f t="shared" si="2"/>
        <v>95154</v>
      </c>
      <c r="L14" s="20">
        <f t="shared" si="2"/>
        <v>67557</v>
      </c>
      <c r="M14" s="20">
        <f t="shared" si="2"/>
        <v>100704</v>
      </c>
      <c r="N14" s="20">
        <f t="shared" si="2"/>
        <v>146076</v>
      </c>
    </row>
    <row r="15" spans="1:15" x14ac:dyDescent="0.2">
      <c r="A15" t="str">
        <f t="shared" si="0"/>
        <v/>
      </c>
      <c r="D15" s="7"/>
      <c r="E15" s="12"/>
      <c r="F15" s="12"/>
      <c r="G15" s="12"/>
      <c r="H15" s="12"/>
      <c r="I15" s="12"/>
      <c r="J15" s="12"/>
      <c r="K15" s="12"/>
      <c r="L15" s="12"/>
      <c r="M15" s="12"/>
      <c r="N15" s="12"/>
    </row>
    <row r="16" spans="1:15" x14ac:dyDescent="0.2">
      <c r="A16" t="str">
        <f t="shared" si="0"/>
        <v/>
      </c>
      <c r="D16" s="7"/>
      <c r="E16" s="12"/>
      <c r="F16" s="12"/>
      <c r="G16" s="12"/>
      <c r="H16" s="12"/>
      <c r="I16" s="12"/>
      <c r="J16" s="12"/>
      <c r="K16" s="12"/>
      <c r="L16" s="12"/>
      <c r="M16" s="12"/>
      <c r="N16" s="12"/>
    </row>
    <row r="17" spans="1:14" x14ac:dyDescent="0.2">
      <c r="A17" t="str">
        <f t="shared" si="0"/>
        <v/>
      </c>
      <c r="D17" s="7"/>
      <c r="E17" s="12"/>
      <c r="F17" s="12"/>
      <c r="G17" s="12"/>
      <c r="H17" s="12"/>
      <c r="I17" s="12"/>
      <c r="J17" s="12"/>
      <c r="K17" s="12"/>
      <c r="L17" s="12"/>
      <c r="M17" s="12"/>
      <c r="N17" s="12"/>
    </row>
    <row r="18" spans="1:14" x14ac:dyDescent="0.2">
      <c r="A18" t="str">
        <f t="shared" si="0"/>
        <v>SMBAccounting</v>
      </c>
      <c r="B18" s="10" t="s">
        <v>4</v>
      </c>
      <c r="C18" s="11" t="s">
        <v>9</v>
      </c>
      <c r="D18" s="7"/>
      <c r="E18" s="12">
        <v>684</v>
      </c>
      <c r="F18" s="12">
        <v>17682</v>
      </c>
      <c r="G18" s="12">
        <v>10140</v>
      </c>
      <c r="H18" s="12">
        <v>3252</v>
      </c>
      <c r="I18" s="12">
        <v>3515</v>
      </c>
      <c r="J18" s="12">
        <v>5064</v>
      </c>
      <c r="K18" s="12">
        <v>9666</v>
      </c>
      <c r="L18" s="12">
        <v>1365</v>
      </c>
      <c r="M18" s="12">
        <v>3022</v>
      </c>
      <c r="N18" s="12">
        <v>15468</v>
      </c>
    </row>
    <row r="19" spans="1:14" x14ac:dyDescent="0.2">
      <c r="A19" t="str">
        <f t="shared" si="0"/>
        <v>EnterpriseAccounting</v>
      </c>
      <c r="B19" s="13" t="s">
        <v>6</v>
      </c>
      <c r="C19" s="14" t="s">
        <v>9</v>
      </c>
      <c r="D19" s="15"/>
      <c r="E19" s="16">
        <v>9098</v>
      </c>
      <c r="F19" s="16">
        <v>19683</v>
      </c>
      <c r="G19" s="16">
        <v>55827</v>
      </c>
      <c r="H19" s="16">
        <v>6756</v>
      </c>
      <c r="I19" s="16">
        <v>18760</v>
      </c>
      <c r="J19" s="16">
        <v>15933</v>
      </c>
      <c r="K19" s="16">
        <v>6528</v>
      </c>
      <c r="L19" s="16">
        <v>68814</v>
      </c>
      <c r="M19" s="16">
        <v>32694</v>
      </c>
      <c r="N19" s="16">
        <v>9172</v>
      </c>
    </row>
    <row r="20" spans="1:14" x14ac:dyDescent="0.2">
      <c r="C20" s="18" t="s">
        <v>7</v>
      </c>
      <c r="D20" s="7"/>
      <c r="E20" s="20">
        <f>SUM(E18:E19)</f>
        <v>9782</v>
      </c>
      <c r="F20" s="20">
        <f t="shared" ref="F20:N20" si="3">SUM(F18:F19)</f>
        <v>37365</v>
      </c>
      <c r="G20" s="20">
        <f t="shared" si="3"/>
        <v>65967</v>
      </c>
      <c r="H20" s="20">
        <f t="shared" si="3"/>
        <v>10008</v>
      </c>
      <c r="I20" s="20">
        <f t="shared" si="3"/>
        <v>22275</v>
      </c>
      <c r="J20" s="20">
        <f t="shared" si="3"/>
        <v>20997</v>
      </c>
      <c r="K20" s="20">
        <f t="shared" si="3"/>
        <v>16194</v>
      </c>
      <c r="L20" s="20">
        <f t="shared" si="3"/>
        <v>70179</v>
      </c>
      <c r="M20" s="20">
        <f t="shared" si="3"/>
        <v>35716</v>
      </c>
      <c r="N20" s="20">
        <f t="shared" si="3"/>
        <v>24640</v>
      </c>
    </row>
    <row r="21" spans="1:14" x14ac:dyDescent="0.2">
      <c r="D21" s="7"/>
      <c r="E21" s="12"/>
      <c r="F21" s="12"/>
      <c r="G21" s="12"/>
      <c r="H21" s="12"/>
      <c r="I21" s="12"/>
      <c r="J21" s="12"/>
      <c r="K21" s="12"/>
      <c r="L21" s="12"/>
      <c r="M21" s="12"/>
      <c r="N21" s="12"/>
    </row>
    <row r="22" spans="1:14" x14ac:dyDescent="0.2">
      <c r="C22" s="21"/>
      <c r="D22" s="7"/>
      <c r="E22" s="12"/>
      <c r="F22" s="12"/>
      <c r="G22" s="12"/>
      <c r="H22" s="12"/>
      <c r="I22" s="12"/>
      <c r="J22" s="12"/>
      <c r="K22" s="12"/>
      <c r="L22" s="12"/>
      <c r="M22" s="12"/>
      <c r="N22" s="12"/>
    </row>
    <row r="23" spans="1:14" x14ac:dyDescent="0.2">
      <c r="B23" s="22" t="s">
        <v>10</v>
      </c>
      <c r="C23" s="23"/>
      <c r="D23" s="24"/>
      <c r="E23" s="25">
        <f>SUM(E9,E14,E20)</f>
        <v>65180</v>
      </c>
      <c r="F23" s="25">
        <f t="shared" ref="F23:N23" si="4">SUM(F9,F14,F20)</f>
        <v>165112</v>
      </c>
      <c r="G23" s="25">
        <f t="shared" si="4"/>
        <v>112577</v>
      </c>
      <c r="H23" s="25">
        <f t="shared" si="4"/>
        <v>153933</v>
      </c>
      <c r="I23" s="25">
        <f t="shared" si="4"/>
        <v>157764</v>
      </c>
      <c r="J23" s="25">
        <f t="shared" si="4"/>
        <v>172299</v>
      </c>
      <c r="K23" s="25">
        <f t="shared" si="4"/>
        <v>134186</v>
      </c>
      <c r="L23" s="25">
        <f t="shared" si="4"/>
        <v>169064</v>
      </c>
      <c r="M23" s="25">
        <f t="shared" si="4"/>
        <v>164467</v>
      </c>
      <c r="N23" s="25">
        <f t="shared" si="4"/>
        <v>199582</v>
      </c>
    </row>
    <row r="27" spans="1:14" x14ac:dyDescent="0.2">
      <c r="E27" s="12"/>
      <c r="F27" s="12"/>
      <c r="G27" s="12"/>
      <c r="H27" s="12"/>
      <c r="I27" s="12"/>
      <c r="J27" s="12"/>
      <c r="K27" s="12"/>
      <c r="L27" s="12"/>
      <c r="M27" s="12"/>
      <c r="N27" s="12"/>
    </row>
    <row r="28" spans="1:14" x14ac:dyDescent="0.2">
      <c r="E28" s="12"/>
      <c r="F28" s="12"/>
      <c r="G28" s="12"/>
      <c r="H28" s="12"/>
      <c r="I28" s="12"/>
      <c r="J28" s="12"/>
      <c r="K28" s="12"/>
      <c r="L28" s="12"/>
      <c r="M28" s="12"/>
      <c r="N28" s="12"/>
    </row>
    <row r="29" spans="1:14" x14ac:dyDescent="0.2">
      <c r="E29" s="12"/>
      <c r="F29" s="12"/>
      <c r="G29" s="12"/>
      <c r="H29" s="12"/>
      <c r="I29" s="12"/>
      <c r="J29" s="12"/>
      <c r="K29" s="12"/>
      <c r="L29" s="12"/>
      <c r="M29" s="12"/>
      <c r="N29" s="12"/>
    </row>
    <row r="30" spans="1:14" x14ac:dyDescent="0.2">
      <c r="E30" s="12"/>
      <c r="F30" s="12"/>
      <c r="G30" s="12"/>
      <c r="H30" s="12"/>
      <c r="I30" s="12"/>
      <c r="J30" s="12"/>
      <c r="K30" s="12"/>
      <c r="L30" s="12"/>
      <c r="M30" s="12"/>
      <c r="N30" s="12"/>
    </row>
    <row r="31" spans="1:14" x14ac:dyDescent="0.2">
      <c r="E31" s="12"/>
      <c r="F31" s="12"/>
      <c r="G31" s="12"/>
      <c r="H31" s="12"/>
      <c r="I31" s="12"/>
      <c r="J31" s="12"/>
      <c r="K31" s="12"/>
      <c r="L31" s="12"/>
      <c r="M31" s="12"/>
      <c r="N31" s="12"/>
    </row>
    <row r="32" spans="1:14" x14ac:dyDescent="0.2">
      <c r="E32" s="12"/>
      <c r="F32" s="12"/>
      <c r="G32" s="12"/>
      <c r="H32" s="12"/>
      <c r="I32" s="12"/>
      <c r="J32" s="12"/>
      <c r="K32" s="12"/>
      <c r="L32" s="12"/>
      <c r="M32" s="12"/>
      <c r="N32" s="12"/>
    </row>
    <row r="33" spans="5:14" x14ac:dyDescent="0.2">
      <c r="E33" s="12"/>
      <c r="F33" s="12"/>
      <c r="G33" s="12"/>
      <c r="H33" s="12"/>
      <c r="I33" s="12"/>
      <c r="J33" s="12"/>
      <c r="K33" s="12"/>
      <c r="L33" s="12"/>
      <c r="M33" s="12"/>
      <c r="N33" s="12"/>
    </row>
    <row r="34" spans="5:14" x14ac:dyDescent="0.2">
      <c r="E34" s="12"/>
      <c r="F34" s="12"/>
      <c r="G34" s="12"/>
      <c r="H34" s="12"/>
      <c r="I34" s="12"/>
      <c r="J34" s="12"/>
      <c r="K34" s="12"/>
      <c r="L34" s="12"/>
      <c r="M34" s="12"/>
      <c r="N34" s="12"/>
    </row>
    <row r="35" spans="5:14" x14ac:dyDescent="0.2">
      <c r="E35" s="12"/>
      <c r="F35" s="12"/>
      <c r="G35" s="12"/>
      <c r="H35" s="12"/>
      <c r="I35" s="12"/>
      <c r="J35" s="12"/>
      <c r="K35" s="12"/>
      <c r="L35" s="12"/>
      <c r="M35" s="12"/>
      <c r="N35" s="12"/>
    </row>
    <row r="36" spans="5:14" x14ac:dyDescent="0.2">
      <c r="E36" s="12"/>
      <c r="F36" s="12"/>
      <c r="G36" s="12"/>
      <c r="H36" s="12"/>
      <c r="I36" s="12"/>
      <c r="J36" s="12"/>
      <c r="K36" s="12"/>
      <c r="L36" s="12"/>
      <c r="M36" s="12"/>
      <c r="N36" s="12"/>
    </row>
    <row r="37" spans="5:14" x14ac:dyDescent="0.2">
      <c r="E37" s="12"/>
      <c r="F37" s="12"/>
      <c r="G37" s="12"/>
      <c r="H37" s="12"/>
      <c r="I37" s="12"/>
      <c r="J37" s="12"/>
      <c r="K37" s="12"/>
      <c r="L37" s="12"/>
      <c r="M37" s="12"/>
      <c r="N37" s="12"/>
    </row>
    <row r="38" spans="5:14" x14ac:dyDescent="0.2">
      <c r="E38" s="12"/>
      <c r="F38" s="12"/>
      <c r="G38" s="12"/>
      <c r="H38" s="12"/>
      <c r="I38" s="12"/>
      <c r="J38" s="12"/>
      <c r="K38" s="12"/>
      <c r="L38" s="12"/>
      <c r="M38" s="12"/>
      <c r="N38" s="12"/>
    </row>
    <row r="39" spans="5:14" x14ac:dyDescent="0.2">
      <c r="E39" s="12"/>
      <c r="F39" s="12"/>
      <c r="G39" s="12"/>
      <c r="H39" s="12"/>
      <c r="I39" s="12"/>
      <c r="J39" s="12"/>
      <c r="K39" s="12"/>
      <c r="L39" s="12"/>
      <c r="M39" s="12"/>
      <c r="N39" s="12"/>
    </row>
    <row r="40" spans="5:14" x14ac:dyDescent="0.2">
      <c r="E40" s="12"/>
      <c r="F40" s="12"/>
      <c r="G40" s="12"/>
      <c r="H40" s="12"/>
      <c r="I40" s="12"/>
      <c r="J40" s="12"/>
      <c r="K40" s="12"/>
      <c r="L40" s="12"/>
      <c r="M40" s="12"/>
      <c r="N40" s="12"/>
    </row>
    <row r="41" spans="5:14" x14ac:dyDescent="0.2">
      <c r="E41" s="12"/>
      <c r="F41" s="12"/>
      <c r="G41" s="12"/>
      <c r="H41" s="12"/>
      <c r="I41" s="12"/>
      <c r="J41" s="12"/>
      <c r="K41" s="12"/>
      <c r="L41" s="12"/>
      <c r="M41" s="12"/>
      <c r="N41" s="1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18F25-59F2-4340-95A1-2AD2A76EA4BA}">
  <dimension ref="A1:O56"/>
  <sheetViews>
    <sheetView showGridLines="0" workbookViewId="0">
      <selection activeCell="A7" sqref="A7"/>
    </sheetView>
  </sheetViews>
  <sheetFormatPr baseColWidth="10" defaultRowHeight="16" x14ac:dyDescent="0.2"/>
  <cols>
    <col min="1" max="1" width="26.6640625" bestFit="1" customWidth="1"/>
    <col min="2" max="2" width="12.5" style="1" bestFit="1" customWidth="1"/>
    <col min="3" max="3" width="18" bestFit="1" customWidth="1"/>
    <col min="4" max="4" width="10.5" customWidth="1"/>
    <col min="5" max="14" width="10.33203125" bestFit="1" customWidth="1"/>
    <col min="15" max="15" width="5.6640625" bestFit="1" customWidth="1"/>
  </cols>
  <sheetData>
    <row r="1" spans="1:15" x14ac:dyDescent="0.2">
      <c r="D1" s="2" t="s">
        <v>0</v>
      </c>
      <c r="E1" s="3">
        <v>2018</v>
      </c>
      <c r="F1" s="3">
        <v>2019</v>
      </c>
      <c r="G1" s="3">
        <v>2020</v>
      </c>
      <c r="H1" s="3">
        <v>2021</v>
      </c>
      <c r="I1" s="3">
        <v>2022</v>
      </c>
      <c r="J1" s="3">
        <v>2023</v>
      </c>
      <c r="K1" s="3">
        <v>2024</v>
      </c>
      <c r="L1" s="3">
        <v>2025</v>
      </c>
      <c r="M1" s="3">
        <v>2026</v>
      </c>
      <c r="N1" s="3">
        <v>2027</v>
      </c>
    </row>
    <row r="2" spans="1:15" x14ac:dyDescent="0.2">
      <c r="D2" s="4" t="s">
        <v>1</v>
      </c>
      <c r="E2" s="5"/>
      <c r="F2" s="6">
        <v>43466</v>
      </c>
      <c r="G2" s="6">
        <v>43831</v>
      </c>
      <c r="H2" s="6">
        <v>44197</v>
      </c>
      <c r="I2" s="6">
        <v>44562</v>
      </c>
      <c r="J2" s="6">
        <v>44927</v>
      </c>
      <c r="K2" s="6">
        <v>45292</v>
      </c>
      <c r="L2" s="6">
        <v>45658</v>
      </c>
      <c r="M2" s="6">
        <v>46023</v>
      </c>
      <c r="N2" s="6">
        <v>46388</v>
      </c>
    </row>
    <row r="3" spans="1:15" x14ac:dyDescent="0.2">
      <c r="D3" s="4" t="s">
        <v>2</v>
      </c>
      <c r="E3" s="6">
        <v>43465</v>
      </c>
      <c r="F3" s="6">
        <v>43830</v>
      </c>
      <c r="G3" s="6">
        <v>44196</v>
      </c>
      <c r="H3" s="6">
        <v>44561</v>
      </c>
      <c r="I3" s="6">
        <v>44926</v>
      </c>
      <c r="J3" s="6">
        <v>45291</v>
      </c>
      <c r="K3" s="6">
        <v>45657</v>
      </c>
      <c r="L3" s="6">
        <v>46022</v>
      </c>
      <c r="M3" s="6">
        <v>46387</v>
      </c>
      <c r="N3" s="6">
        <v>46752</v>
      </c>
    </row>
    <row r="4" spans="1:15" x14ac:dyDescent="0.2">
      <c r="D4" s="7"/>
    </row>
    <row r="5" spans="1:15" x14ac:dyDescent="0.2">
      <c r="D5" s="7"/>
    </row>
    <row r="6" spans="1:15" x14ac:dyDescent="0.2">
      <c r="A6" t="s">
        <v>21</v>
      </c>
      <c r="B6" s="1" t="s">
        <v>3</v>
      </c>
      <c r="C6" s="8" t="s">
        <v>16</v>
      </c>
      <c r="D6" s="9"/>
      <c r="E6" s="8"/>
      <c r="F6" s="8"/>
      <c r="G6" s="8"/>
      <c r="H6" s="8"/>
      <c r="I6" s="8"/>
      <c r="J6" s="8"/>
      <c r="K6" s="8"/>
      <c r="L6" s="8"/>
      <c r="M6" s="8"/>
      <c r="N6" s="8"/>
    </row>
    <row r="7" spans="1:15" x14ac:dyDescent="0.2">
      <c r="A7" t="str">
        <f>B7&amp;C7</f>
        <v>SMBArtificial Intelligence</v>
      </c>
      <c r="B7" s="10" t="s">
        <v>4</v>
      </c>
      <c r="C7" s="11" t="s">
        <v>5</v>
      </c>
      <c r="D7" s="7"/>
      <c r="E7" s="12">
        <v>1869</v>
      </c>
      <c r="F7" s="12">
        <v>3211</v>
      </c>
      <c r="G7" s="12">
        <v>2405</v>
      </c>
      <c r="H7" s="12">
        <v>2490</v>
      </c>
      <c r="I7" s="12">
        <v>3789</v>
      </c>
      <c r="J7" s="12">
        <v>2298</v>
      </c>
      <c r="K7" s="12">
        <v>4440</v>
      </c>
      <c r="L7" s="12">
        <v>4901</v>
      </c>
      <c r="M7" s="12">
        <v>3828</v>
      </c>
      <c r="N7" s="12">
        <v>1808</v>
      </c>
    </row>
    <row r="8" spans="1:15" x14ac:dyDescent="0.2">
      <c r="A8" t="str">
        <f t="shared" ref="A8:A19" si="0">B8&amp;C8</f>
        <v>EnterpriseArtificial Intelligence</v>
      </c>
      <c r="B8" s="13" t="s">
        <v>6</v>
      </c>
      <c r="C8" s="14" t="s">
        <v>5</v>
      </c>
      <c r="D8" s="15"/>
      <c r="E8" s="16">
        <v>7987</v>
      </c>
      <c r="F8" s="16">
        <v>7978</v>
      </c>
      <c r="G8" s="16">
        <v>8045</v>
      </c>
      <c r="H8" s="16">
        <v>5075</v>
      </c>
      <c r="I8" s="16">
        <v>7242</v>
      </c>
      <c r="J8" s="16">
        <v>9330</v>
      </c>
      <c r="K8" s="16">
        <v>6979</v>
      </c>
      <c r="L8" s="16">
        <v>8809</v>
      </c>
      <c r="M8" s="16">
        <v>8073</v>
      </c>
      <c r="N8" s="16">
        <v>7814</v>
      </c>
      <c r="O8" s="17"/>
    </row>
    <row r="9" spans="1:15" x14ac:dyDescent="0.2">
      <c r="B9" s="10"/>
      <c r="C9" s="18" t="s">
        <v>7</v>
      </c>
      <c r="D9" s="19"/>
      <c r="E9" s="20">
        <f>SUM(E7:E8)</f>
        <v>9856</v>
      </c>
      <c r="F9" s="20">
        <f t="shared" ref="F9:N9" si="1">SUM(F7:F8)</f>
        <v>11189</v>
      </c>
      <c r="G9" s="20">
        <f t="shared" si="1"/>
        <v>10450</v>
      </c>
      <c r="H9" s="20">
        <f t="shared" si="1"/>
        <v>7565</v>
      </c>
      <c r="I9" s="20">
        <f t="shared" si="1"/>
        <v>11031</v>
      </c>
      <c r="J9" s="20">
        <f t="shared" si="1"/>
        <v>11628</v>
      </c>
      <c r="K9" s="20">
        <f t="shared" si="1"/>
        <v>11419</v>
      </c>
      <c r="L9" s="20">
        <f t="shared" si="1"/>
        <v>13710</v>
      </c>
      <c r="M9" s="20">
        <f t="shared" si="1"/>
        <v>11901</v>
      </c>
      <c r="N9" s="20">
        <f t="shared" si="1"/>
        <v>9622</v>
      </c>
    </row>
    <row r="10" spans="1:15" x14ac:dyDescent="0.2">
      <c r="A10" t="str">
        <f t="shared" si="0"/>
        <v/>
      </c>
      <c r="D10" s="7"/>
      <c r="E10" s="12"/>
      <c r="F10" s="12"/>
      <c r="G10" s="12"/>
      <c r="H10" s="12"/>
      <c r="I10" s="12"/>
      <c r="J10" s="12"/>
      <c r="K10" s="12"/>
      <c r="L10" s="12"/>
      <c r="M10" s="12"/>
      <c r="N10" s="12"/>
    </row>
    <row r="11" spans="1:15" x14ac:dyDescent="0.2">
      <c r="A11" t="str">
        <f t="shared" si="0"/>
        <v/>
      </c>
      <c r="D11" s="7"/>
      <c r="E11" s="12"/>
      <c r="F11" s="12"/>
      <c r="G11" s="12"/>
      <c r="H11" s="12"/>
      <c r="I11" s="12"/>
      <c r="J11" s="12"/>
      <c r="K11" s="12"/>
      <c r="L11" s="12"/>
      <c r="M11" s="12"/>
      <c r="N11" s="12"/>
    </row>
    <row r="12" spans="1:15" x14ac:dyDescent="0.2">
      <c r="A12" t="str">
        <f t="shared" si="0"/>
        <v>SMBMarketing</v>
      </c>
      <c r="B12" s="10" t="s">
        <v>4</v>
      </c>
      <c r="C12" s="11" t="s">
        <v>8</v>
      </c>
      <c r="D12" s="7"/>
      <c r="E12" s="12">
        <v>2184</v>
      </c>
      <c r="F12" s="12">
        <v>1395</v>
      </c>
      <c r="G12" s="12">
        <v>1625</v>
      </c>
      <c r="H12" s="12">
        <v>1710</v>
      </c>
      <c r="I12" s="12">
        <v>1738</v>
      </c>
      <c r="J12" s="12">
        <v>2471</v>
      </c>
      <c r="K12" s="12">
        <v>1689</v>
      </c>
      <c r="L12" s="12">
        <v>2300</v>
      </c>
      <c r="M12" s="12">
        <v>3500</v>
      </c>
      <c r="N12" s="12">
        <v>2150</v>
      </c>
    </row>
    <row r="13" spans="1:15" x14ac:dyDescent="0.2">
      <c r="A13" t="str">
        <f t="shared" si="0"/>
        <v>EnterpriseMarketing</v>
      </c>
      <c r="B13" s="13" t="s">
        <v>6</v>
      </c>
      <c r="C13" s="14" t="s">
        <v>8</v>
      </c>
      <c r="D13" s="15"/>
      <c r="E13" s="16">
        <v>3902</v>
      </c>
      <c r="F13" s="16">
        <v>3286</v>
      </c>
      <c r="G13" s="16">
        <v>2912</v>
      </c>
      <c r="H13" s="16">
        <v>4586</v>
      </c>
      <c r="I13" s="16">
        <v>2666</v>
      </c>
      <c r="J13" s="16">
        <v>4027</v>
      </c>
      <c r="K13" s="16">
        <v>2778</v>
      </c>
      <c r="L13" s="16">
        <v>5369</v>
      </c>
      <c r="M13" s="16">
        <v>4109</v>
      </c>
      <c r="N13" s="16">
        <v>3706</v>
      </c>
    </row>
    <row r="14" spans="1:15" x14ac:dyDescent="0.2">
      <c r="C14" s="18" t="s">
        <v>7</v>
      </c>
      <c r="D14" s="7"/>
      <c r="E14" s="20">
        <f>SUM(E12:E13)</f>
        <v>6086</v>
      </c>
      <c r="F14" s="20">
        <v>4682</v>
      </c>
      <c r="G14" s="20">
        <v>4537</v>
      </c>
      <c r="H14" s="20">
        <v>6296</v>
      </c>
      <c r="I14" s="20">
        <v>4404</v>
      </c>
      <c r="J14" s="20">
        <v>6498</v>
      </c>
      <c r="K14" s="20">
        <v>4467</v>
      </c>
      <c r="L14" s="20">
        <v>7670</v>
      </c>
      <c r="M14" s="20">
        <v>6610</v>
      </c>
      <c r="N14" s="20">
        <v>5856</v>
      </c>
    </row>
    <row r="15" spans="1:15" x14ac:dyDescent="0.2">
      <c r="A15" t="str">
        <f t="shared" si="0"/>
        <v/>
      </c>
      <c r="D15" s="7"/>
      <c r="E15" s="12"/>
      <c r="F15" s="12"/>
      <c r="G15" s="12"/>
      <c r="H15" s="12"/>
      <c r="I15" s="12"/>
      <c r="J15" s="12"/>
      <c r="K15" s="12"/>
      <c r="L15" s="12"/>
      <c r="M15" s="12"/>
      <c r="N15" s="12"/>
    </row>
    <row r="16" spans="1:15" x14ac:dyDescent="0.2">
      <c r="A16" t="str">
        <f t="shared" si="0"/>
        <v/>
      </c>
      <c r="D16" s="7"/>
      <c r="E16" s="12"/>
      <c r="F16" s="12"/>
      <c r="G16" s="12"/>
      <c r="H16" s="12"/>
      <c r="I16" s="12"/>
      <c r="J16" s="12"/>
      <c r="K16" s="12"/>
      <c r="L16" s="12"/>
      <c r="M16" s="12"/>
      <c r="N16" s="12"/>
    </row>
    <row r="17" spans="1:14" x14ac:dyDescent="0.2">
      <c r="A17" t="str">
        <f t="shared" si="0"/>
        <v/>
      </c>
      <c r="D17" s="7"/>
      <c r="E17" s="12"/>
      <c r="F17" s="12"/>
      <c r="G17" s="12"/>
      <c r="H17" s="12"/>
      <c r="I17" s="12"/>
      <c r="J17" s="12"/>
      <c r="K17" s="12"/>
      <c r="L17" s="12"/>
      <c r="M17" s="12"/>
      <c r="N17" s="12"/>
    </row>
    <row r="18" spans="1:14" x14ac:dyDescent="0.2">
      <c r="A18" t="str">
        <f t="shared" si="0"/>
        <v>SMBAccounting</v>
      </c>
      <c r="B18" s="10" t="s">
        <v>4</v>
      </c>
      <c r="C18" s="11" t="s">
        <v>9</v>
      </c>
      <c r="D18" s="7"/>
      <c r="E18" s="12">
        <v>684</v>
      </c>
      <c r="F18" s="12">
        <v>2947</v>
      </c>
      <c r="G18" s="12">
        <v>1690</v>
      </c>
      <c r="H18" s="12">
        <v>1626</v>
      </c>
      <c r="I18" s="12">
        <v>3515</v>
      </c>
      <c r="J18" s="12">
        <v>2532</v>
      </c>
      <c r="K18" s="12">
        <v>1611</v>
      </c>
      <c r="L18" s="12">
        <v>455</v>
      </c>
      <c r="M18" s="12">
        <v>3022</v>
      </c>
      <c r="N18" s="12">
        <v>3867</v>
      </c>
    </row>
    <row r="19" spans="1:14" x14ac:dyDescent="0.2">
      <c r="A19" t="str">
        <f t="shared" si="0"/>
        <v>EnterpriseAccounting</v>
      </c>
      <c r="B19" s="13" t="s">
        <v>6</v>
      </c>
      <c r="C19" s="14" t="s">
        <v>9</v>
      </c>
      <c r="D19" s="15"/>
      <c r="E19" s="16">
        <v>4549</v>
      </c>
      <c r="F19" s="16">
        <v>2187</v>
      </c>
      <c r="G19" s="16">
        <v>6203</v>
      </c>
      <c r="H19" s="16">
        <v>1126</v>
      </c>
      <c r="I19" s="16">
        <v>4690</v>
      </c>
      <c r="J19" s="16">
        <v>5311</v>
      </c>
      <c r="K19" s="16">
        <v>6528</v>
      </c>
      <c r="L19" s="16">
        <v>7646</v>
      </c>
      <c r="M19" s="16">
        <v>5449</v>
      </c>
      <c r="N19" s="16">
        <v>4586</v>
      </c>
    </row>
    <row r="20" spans="1:14" x14ac:dyDescent="0.2">
      <c r="C20" s="18" t="s">
        <v>7</v>
      </c>
      <c r="D20" s="7"/>
      <c r="E20" s="20">
        <f>SUM(E18:E19)</f>
        <v>5233</v>
      </c>
      <c r="F20" s="20">
        <f t="shared" ref="F20:N20" si="2">SUM(F18:F19)</f>
        <v>5134</v>
      </c>
      <c r="G20" s="20">
        <f t="shared" si="2"/>
        <v>7893</v>
      </c>
      <c r="H20" s="20">
        <f t="shared" si="2"/>
        <v>2752</v>
      </c>
      <c r="I20" s="20">
        <f t="shared" si="2"/>
        <v>8205</v>
      </c>
      <c r="J20" s="20">
        <f t="shared" si="2"/>
        <v>7843</v>
      </c>
      <c r="K20" s="20">
        <f t="shared" si="2"/>
        <v>8139</v>
      </c>
      <c r="L20" s="20">
        <f t="shared" si="2"/>
        <v>8101</v>
      </c>
      <c r="M20" s="20">
        <f t="shared" si="2"/>
        <v>8471</v>
      </c>
      <c r="N20" s="20">
        <f t="shared" si="2"/>
        <v>8453</v>
      </c>
    </row>
    <row r="21" spans="1:14" x14ac:dyDescent="0.2">
      <c r="D21" s="7"/>
      <c r="E21" s="12"/>
      <c r="F21" s="12"/>
      <c r="G21" s="12"/>
      <c r="H21" s="12"/>
      <c r="I21" s="12"/>
      <c r="J21" s="12"/>
      <c r="K21" s="12"/>
      <c r="L21" s="12"/>
      <c r="M21" s="12"/>
      <c r="N21" s="12"/>
    </row>
    <row r="22" spans="1:14" x14ac:dyDescent="0.2">
      <c r="C22" s="21"/>
      <c r="D22" s="7"/>
      <c r="E22" s="12"/>
      <c r="F22" s="12"/>
      <c r="G22" s="12"/>
      <c r="H22" s="12"/>
      <c r="I22" s="12"/>
      <c r="J22" s="12"/>
      <c r="K22" s="12"/>
      <c r="L22" s="12"/>
      <c r="M22" s="12"/>
      <c r="N22" s="12"/>
    </row>
    <row r="23" spans="1:14" x14ac:dyDescent="0.2">
      <c r="B23" s="22" t="s">
        <v>10</v>
      </c>
      <c r="C23" s="23"/>
      <c r="D23" s="24"/>
      <c r="E23" s="25">
        <f>SUM(E9,E14,E20)</f>
        <v>21175</v>
      </c>
      <c r="F23" s="25">
        <f t="shared" ref="F23:N23" si="3">SUM(F9,F14,F20)</f>
        <v>21005</v>
      </c>
      <c r="G23" s="25">
        <f t="shared" si="3"/>
        <v>22880</v>
      </c>
      <c r="H23" s="25">
        <f t="shared" si="3"/>
        <v>16613</v>
      </c>
      <c r="I23" s="25">
        <f t="shared" si="3"/>
        <v>23640</v>
      </c>
      <c r="J23" s="25">
        <f t="shared" si="3"/>
        <v>25969</v>
      </c>
      <c r="K23" s="25">
        <f t="shared" si="3"/>
        <v>24025</v>
      </c>
      <c r="L23" s="25">
        <f t="shared" si="3"/>
        <v>29481</v>
      </c>
      <c r="M23" s="25">
        <f t="shared" si="3"/>
        <v>26982</v>
      </c>
      <c r="N23" s="25">
        <f t="shared" si="3"/>
        <v>23931</v>
      </c>
    </row>
    <row r="27" spans="1:14" x14ac:dyDescent="0.2">
      <c r="E27" s="12"/>
      <c r="F27" s="12"/>
      <c r="G27" s="12"/>
      <c r="H27" s="12"/>
      <c r="I27" s="12"/>
      <c r="J27" s="12"/>
      <c r="K27" s="12"/>
      <c r="L27" s="12"/>
      <c r="M27" s="12"/>
      <c r="N27" s="12"/>
    </row>
    <row r="28" spans="1:14" x14ac:dyDescent="0.2">
      <c r="E28" s="12"/>
      <c r="F28" s="12"/>
      <c r="G28" s="12"/>
      <c r="H28" s="12"/>
      <c r="I28" s="12"/>
      <c r="J28" s="12"/>
      <c r="K28" s="12"/>
      <c r="L28" s="12"/>
      <c r="M28" s="12"/>
      <c r="N28" s="12"/>
    </row>
    <row r="29" spans="1:14" x14ac:dyDescent="0.2">
      <c r="E29" s="12"/>
      <c r="F29" s="12"/>
      <c r="G29" s="12"/>
      <c r="H29" s="12"/>
      <c r="I29" s="12"/>
      <c r="J29" s="12"/>
      <c r="K29" s="12"/>
      <c r="L29" s="12"/>
      <c r="M29" s="12"/>
      <c r="N29" s="12"/>
    </row>
    <row r="30" spans="1:14" x14ac:dyDescent="0.2">
      <c r="E30" s="12"/>
      <c r="F30" s="12"/>
      <c r="G30" s="12"/>
      <c r="H30" s="12"/>
      <c r="I30" s="12"/>
      <c r="J30" s="12"/>
      <c r="K30" s="12"/>
      <c r="L30" s="12"/>
      <c r="M30" s="12"/>
      <c r="N30" s="12"/>
    </row>
    <row r="31" spans="1:14" x14ac:dyDescent="0.2">
      <c r="E31" s="12"/>
      <c r="F31" s="12"/>
      <c r="G31" s="12"/>
      <c r="H31" s="12"/>
      <c r="I31" s="12"/>
      <c r="J31" s="12"/>
      <c r="K31" s="12"/>
      <c r="L31" s="12"/>
      <c r="M31" s="12"/>
      <c r="N31" s="12"/>
    </row>
    <row r="32" spans="1:14" x14ac:dyDescent="0.2">
      <c r="E32" s="12"/>
      <c r="F32" s="12"/>
      <c r="G32" s="12"/>
      <c r="H32" s="12"/>
      <c r="I32" s="12"/>
      <c r="J32" s="12"/>
      <c r="K32" s="12"/>
      <c r="L32" s="12"/>
      <c r="M32" s="12"/>
      <c r="N32" s="12"/>
    </row>
    <row r="33" spans="5:14" x14ac:dyDescent="0.2">
      <c r="E33" s="12"/>
      <c r="F33" s="12"/>
      <c r="G33" s="12"/>
      <c r="H33" s="12"/>
      <c r="I33" s="12"/>
      <c r="J33" s="12"/>
      <c r="K33" s="12"/>
      <c r="L33" s="12"/>
      <c r="M33" s="12"/>
      <c r="N33" s="12"/>
    </row>
    <row r="34" spans="5:14" x14ac:dyDescent="0.2">
      <c r="E34" s="12"/>
      <c r="F34" s="12"/>
      <c r="G34" s="12"/>
      <c r="H34" s="12"/>
      <c r="I34" s="12"/>
      <c r="J34" s="12"/>
      <c r="K34" s="12"/>
      <c r="L34" s="12"/>
      <c r="M34" s="12"/>
      <c r="N34" s="12"/>
    </row>
    <row r="35" spans="5:14" x14ac:dyDescent="0.2">
      <c r="E35" s="12"/>
      <c r="F35" s="12"/>
      <c r="G35" s="12"/>
      <c r="H35" s="12"/>
      <c r="I35" s="12"/>
      <c r="J35" s="12"/>
      <c r="K35" s="12"/>
      <c r="L35" s="12"/>
      <c r="M35" s="12"/>
      <c r="N35" s="12"/>
    </row>
    <row r="36" spans="5:14" x14ac:dyDescent="0.2">
      <c r="E36" s="12"/>
      <c r="F36" s="12"/>
      <c r="G36" s="12"/>
      <c r="H36" s="12"/>
      <c r="I36" s="12"/>
      <c r="J36" s="12"/>
      <c r="K36" s="12"/>
      <c r="L36" s="12"/>
      <c r="M36" s="12"/>
      <c r="N36" s="12"/>
    </row>
    <row r="37" spans="5:14" x14ac:dyDescent="0.2">
      <c r="E37" s="12"/>
      <c r="F37" s="12"/>
      <c r="G37" s="12"/>
      <c r="H37" s="12"/>
      <c r="I37" s="12"/>
      <c r="J37" s="12"/>
      <c r="K37" s="12"/>
      <c r="L37" s="12"/>
      <c r="M37" s="12"/>
      <c r="N37" s="12"/>
    </row>
    <row r="38" spans="5:14" x14ac:dyDescent="0.2">
      <c r="E38" s="12"/>
      <c r="F38" s="12"/>
      <c r="G38" s="12"/>
      <c r="H38" s="12"/>
      <c r="I38" s="12"/>
      <c r="J38" s="12"/>
      <c r="K38" s="12"/>
      <c r="L38" s="12"/>
      <c r="M38" s="12"/>
      <c r="N38" s="12"/>
    </row>
    <row r="39" spans="5:14" x14ac:dyDescent="0.2">
      <c r="E39" s="12"/>
      <c r="F39" s="12"/>
      <c r="G39" s="12"/>
      <c r="H39" s="12"/>
      <c r="I39" s="12"/>
      <c r="J39" s="12"/>
      <c r="K39" s="12"/>
      <c r="L39" s="12"/>
      <c r="M39" s="12"/>
      <c r="N39" s="12"/>
    </row>
    <row r="40" spans="5:14" x14ac:dyDescent="0.2">
      <c r="E40" s="12"/>
      <c r="F40" s="12"/>
      <c r="G40" s="12"/>
      <c r="H40" s="12"/>
      <c r="I40" s="12"/>
      <c r="J40" s="12"/>
      <c r="K40" s="12"/>
      <c r="L40" s="12"/>
      <c r="M40" s="12"/>
      <c r="N40" s="12"/>
    </row>
    <row r="41" spans="5:14" x14ac:dyDescent="0.2">
      <c r="E41" s="12"/>
      <c r="F41" s="12"/>
      <c r="G41" s="12"/>
      <c r="H41" s="12"/>
      <c r="I41" s="12"/>
      <c r="J41" s="12"/>
      <c r="K41" s="12"/>
      <c r="L41" s="12"/>
      <c r="M41" s="12"/>
      <c r="N41" s="12"/>
    </row>
    <row r="42" spans="5:14" x14ac:dyDescent="0.2">
      <c r="E42" s="12"/>
      <c r="F42" s="12"/>
      <c r="G42" s="12"/>
      <c r="H42" s="12"/>
      <c r="I42" s="12"/>
      <c r="J42" s="12"/>
      <c r="K42" s="12"/>
      <c r="L42" s="12"/>
      <c r="M42" s="12"/>
      <c r="N42" s="12"/>
    </row>
    <row r="43" spans="5:14" x14ac:dyDescent="0.2">
      <c r="E43" s="12"/>
      <c r="F43" s="12"/>
      <c r="G43" s="12"/>
      <c r="H43" s="12"/>
      <c r="I43" s="12"/>
      <c r="J43" s="12"/>
      <c r="K43" s="12"/>
      <c r="L43" s="12"/>
      <c r="M43" s="12"/>
      <c r="N43" s="12"/>
    </row>
    <row r="44" spans="5:14" x14ac:dyDescent="0.2">
      <c r="E44" s="12"/>
      <c r="F44" s="12"/>
      <c r="G44" s="12"/>
      <c r="H44" s="12"/>
      <c r="I44" s="12"/>
      <c r="J44" s="12"/>
      <c r="K44" s="12"/>
      <c r="L44" s="12"/>
      <c r="M44" s="12"/>
      <c r="N44" s="12"/>
    </row>
    <row r="45" spans="5:14" x14ac:dyDescent="0.2">
      <c r="E45" s="12"/>
      <c r="F45" s="12"/>
      <c r="G45" s="12"/>
      <c r="H45" s="12"/>
      <c r="I45" s="12"/>
      <c r="J45" s="12"/>
      <c r="K45" s="12"/>
      <c r="L45" s="12"/>
      <c r="M45" s="12"/>
      <c r="N45" s="12"/>
    </row>
    <row r="46" spans="5:14" x14ac:dyDescent="0.2">
      <c r="E46" s="12"/>
      <c r="F46" s="12"/>
      <c r="G46" s="12"/>
      <c r="H46" s="12"/>
      <c r="I46" s="12"/>
      <c r="J46" s="12"/>
      <c r="K46" s="12"/>
      <c r="L46" s="12"/>
      <c r="M46" s="12"/>
      <c r="N46" s="12"/>
    </row>
    <row r="47" spans="5:14" x14ac:dyDescent="0.2">
      <c r="E47" s="12"/>
      <c r="F47" s="12"/>
      <c r="G47" s="12"/>
      <c r="H47" s="12"/>
      <c r="I47" s="12"/>
      <c r="J47" s="12"/>
      <c r="K47" s="12"/>
      <c r="L47" s="12"/>
      <c r="M47" s="12"/>
      <c r="N47" s="12"/>
    </row>
    <row r="48" spans="5:14" x14ac:dyDescent="0.2">
      <c r="E48" s="12"/>
      <c r="F48" s="12"/>
      <c r="G48" s="12"/>
      <c r="H48" s="12"/>
      <c r="I48" s="12"/>
      <c r="J48" s="12"/>
      <c r="K48" s="12"/>
      <c r="L48" s="12"/>
      <c r="M48" s="12"/>
      <c r="N48" s="12"/>
    </row>
    <row r="49" spans="5:14" x14ac:dyDescent="0.2">
      <c r="E49" s="12"/>
      <c r="F49" s="12"/>
      <c r="G49" s="12"/>
      <c r="H49" s="12"/>
      <c r="I49" s="12"/>
      <c r="J49" s="12"/>
      <c r="K49" s="12"/>
      <c r="L49" s="12"/>
      <c r="M49" s="12"/>
      <c r="N49" s="12"/>
    </row>
    <row r="50" spans="5:14" x14ac:dyDescent="0.2">
      <c r="E50" s="12"/>
      <c r="F50" s="12"/>
      <c r="G50" s="12"/>
      <c r="H50" s="12"/>
      <c r="I50" s="12"/>
      <c r="J50" s="12"/>
      <c r="K50" s="12"/>
      <c r="L50" s="12"/>
      <c r="M50" s="12"/>
      <c r="N50" s="12"/>
    </row>
    <row r="51" spans="5:14" x14ac:dyDescent="0.2">
      <c r="E51" s="12"/>
      <c r="F51" s="12"/>
      <c r="G51" s="12"/>
      <c r="H51" s="12"/>
      <c r="I51" s="12"/>
      <c r="J51" s="12"/>
      <c r="K51" s="12"/>
      <c r="L51" s="12"/>
      <c r="M51" s="12"/>
      <c r="N51" s="12"/>
    </row>
    <row r="52" spans="5:14" x14ac:dyDescent="0.2">
      <c r="E52" s="12"/>
      <c r="F52" s="12"/>
      <c r="G52" s="12"/>
      <c r="H52" s="12"/>
      <c r="I52" s="12"/>
      <c r="J52" s="12"/>
      <c r="K52" s="12"/>
      <c r="L52" s="12"/>
      <c r="M52" s="12"/>
      <c r="N52" s="12"/>
    </row>
    <row r="53" spans="5:14" x14ac:dyDescent="0.2">
      <c r="E53" s="12"/>
      <c r="F53" s="12"/>
      <c r="G53" s="12"/>
      <c r="H53" s="12"/>
      <c r="I53" s="12"/>
      <c r="J53" s="12"/>
      <c r="K53" s="12"/>
      <c r="L53" s="12"/>
      <c r="M53" s="12"/>
      <c r="N53" s="12"/>
    </row>
    <row r="54" spans="5:14" x14ac:dyDescent="0.2">
      <c r="E54" s="12"/>
      <c r="F54" s="12"/>
      <c r="G54" s="12"/>
      <c r="H54" s="12"/>
      <c r="I54" s="12"/>
      <c r="J54" s="12"/>
      <c r="K54" s="12"/>
      <c r="L54" s="12"/>
      <c r="M54" s="12"/>
      <c r="N54" s="12"/>
    </row>
    <row r="55" spans="5:14" x14ac:dyDescent="0.2">
      <c r="E55" s="12"/>
      <c r="F55" s="12"/>
      <c r="G55" s="12"/>
      <c r="H55" s="12"/>
      <c r="I55" s="12"/>
      <c r="J55" s="12"/>
      <c r="K55" s="12"/>
      <c r="L55" s="12"/>
      <c r="M55" s="12"/>
      <c r="N55" s="12"/>
    </row>
    <row r="56" spans="5:14" x14ac:dyDescent="0.2">
      <c r="E56" s="12"/>
      <c r="F56" s="12"/>
      <c r="G56" s="12"/>
      <c r="H56" s="12"/>
      <c r="I56" s="12"/>
      <c r="J56" s="12"/>
      <c r="K56" s="12"/>
      <c r="L56" s="12"/>
      <c r="M56" s="12"/>
      <c r="N56" s="1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5773E-A920-BD45-BD32-33783167D216}">
  <dimension ref="A1:F61"/>
  <sheetViews>
    <sheetView topLeftCell="A26" workbookViewId="0">
      <selection activeCell="D2" sqref="D2"/>
    </sheetView>
  </sheetViews>
  <sheetFormatPr baseColWidth="10" defaultRowHeight="16" x14ac:dyDescent="0.2"/>
  <cols>
    <col min="2" max="2" width="14.1640625" style="1" customWidth="1"/>
    <col min="3" max="3" width="18" bestFit="1" customWidth="1"/>
    <col min="4" max="4" width="28.1640625" customWidth="1"/>
    <col min="5" max="5" width="16.83203125" customWidth="1"/>
    <col min="6" max="6" width="14.1640625" customWidth="1"/>
  </cols>
  <sheetData>
    <row r="1" spans="1:6" x14ac:dyDescent="0.2">
      <c r="A1" s="8" t="s">
        <v>11</v>
      </c>
      <c r="B1" s="27" t="s">
        <v>0</v>
      </c>
      <c r="C1" s="8" t="s">
        <v>16</v>
      </c>
      <c r="D1" s="8" t="s">
        <v>22</v>
      </c>
      <c r="E1" s="8" t="s">
        <v>12</v>
      </c>
      <c r="F1" s="8" t="s">
        <v>13</v>
      </c>
    </row>
    <row r="2" spans="1:6" x14ac:dyDescent="0.2">
      <c r="A2" t="s">
        <v>14</v>
      </c>
      <c r="B2" s="1">
        <v>2018</v>
      </c>
      <c r="C2" s="11" t="s">
        <v>5</v>
      </c>
      <c r="D2" s="11" t="str">
        <f>A2&amp;B2&amp;C2</f>
        <v>USA2018Artificial Intelligence</v>
      </c>
      <c r="E2" s="26">
        <v>0.5</v>
      </c>
      <c r="F2" s="26">
        <v>0.2</v>
      </c>
    </row>
    <row r="3" spans="1:6" x14ac:dyDescent="0.2">
      <c r="A3" t="s">
        <v>14</v>
      </c>
      <c r="B3" s="1">
        <v>2019</v>
      </c>
      <c r="C3" s="11" t="s">
        <v>5</v>
      </c>
      <c r="D3" s="11" t="str">
        <f t="shared" ref="D3:D61" si="0">A3&amp;B3&amp;C3</f>
        <v>USA2019Artificial Intelligence</v>
      </c>
      <c r="E3" s="26">
        <v>0.5</v>
      </c>
      <c r="F3" s="26">
        <v>0.1</v>
      </c>
    </row>
    <row r="4" spans="1:6" x14ac:dyDescent="0.2">
      <c r="A4" t="s">
        <v>14</v>
      </c>
      <c r="B4" s="1">
        <v>2020</v>
      </c>
      <c r="C4" s="11" t="s">
        <v>5</v>
      </c>
      <c r="D4" s="11" t="str">
        <f t="shared" si="0"/>
        <v>USA2020Artificial Intelligence</v>
      </c>
      <c r="E4" s="26">
        <v>0.8</v>
      </c>
      <c r="F4" s="26">
        <v>0.2</v>
      </c>
    </row>
    <row r="5" spans="1:6" x14ac:dyDescent="0.2">
      <c r="A5" t="s">
        <v>14</v>
      </c>
      <c r="B5" s="1">
        <v>2021</v>
      </c>
      <c r="C5" s="11" t="s">
        <v>5</v>
      </c>
      <c r="D5" s="11" t="str">
        <f t="shared" si="0"/>
        <v>USA2021Artificial Intelligence</v>
      </c>
      <c r="E5" s="26">
        <v>0.60000000000000009</v>
      </c>
      <c r="F5" s="26">
        <v>0.2</v>
      </c>
    </row>
    <row r="6" spans="1:6" x14ac:dyDescent="0.2">
      <c r="A6" t="s">
        <v>14</v>
      </c>
      <c r="B6" s="1">
        <v>2022</v>
      </c>
      <c r="C6" s="11" t="s">
        <v>5</v>
      </c>
      <c r="D6" s="11" t="str">
        <f t="shared" si="0"/>
        <v>USA2022Artificial Intelligence</v>
      </c>
      <c r="E6" s="26">
        <v>0.70000000000000007</v>
      </c>
      <c r="F6" s="26">
        <v>0.1</v>
      </c>
    </row>
    <row r="7" spans="1:6" x14ac:dyDescent="0.2">
      <c r="A7" t="s">
        <v>14</v>
      </c>
      <c r="B7" s="1">
        <v>2023</v>
      </c>
      <c r="C7" s="11" t="s">
        <v>5</v>
      </c>
      <c r="D7" s="11" t="str">
        <f t="shared" si="0"/>
        <v>USA2023Artificial Intelligence</v>
      </c>
      <c r="E7" s="26">
        <v>0.70000000000000007</v>
      </c>
      <c r="F7" s="26">
        <v>0.2</v>
      </c>
    </row>
    <row r="8" spans="1:6" x14ac:dyDescent="0.2">
      <c r="A8" t="s">
        <v>14</v>
      </c>
      <c r="B8" s="1">
        <v>2024</v>
      </c>
      <c r="C8" s="11" t="s">
        <v>5</v>
      </c>
      <c r="D8" s="11" t="str">
        <f t="shared" si="0"/>
        <v>USA2024Artificial Intelligence</v>
      </c>
      <c r="E8" s="26">
        <v>0.5</v>
      </c>
      <c r="F8" s="26">
        <v>0.2</v>
      </c>
    </row>
    <row r="9" spans="1:6" x14ac:dyDescent="0.2">
      <c r="A9" t="s">
        <v>14</v>
      </c>
      <c r="B9" s="1">
        <v>2025</v>
      </c>
      <c r="C9" s="11" t="s">
        <v>5</v>
      </c>
      <c r="D9" s="11" t="str">
        <f t="shared" si="0"/>
        <v>USA2025Artificial Intelligence</v>
      </c>
      <c r="E9" s="26">
        <v>0.60000000000000009</v>
      </c>
      <c r="F9" s="26">
        <v>0.1</v>
      </c>
    </row>
    <row r="10" spans="1:6" x14ac:dyDescent="0.2">
      <c r="A10" t="s">
        <v>14</v>
      </c>
      <c r="B10" s="1">
        <v>2026</v>
      </c>
      <c r="C10" s="11" t="s">
        <v>5</v>
      </c>
      <c r="D10" s="11" t="str">
        <f t="shared" si="0"/>
        <v>USA2026Artificial Intelligence</v>
      </c>
      <c r="E10" s="26">
        <v>0.5</v>
      </c>
      <c r="F10" s="26">
        <v>0.2</v>
      </c>
    </row>
    <row r="11" spans="1:6" x14ac:dyDescent="0.2">
      <c r="A11" t="s">
        <v>14</v>
      </c>
      <c r="B11" s="1">
        <v>2027</v>
      </c>
      <c r="C11" s="11" t="s">
        <v>5</v>
      </c>
      <c r="D11" s="11" t="str">
        <f t="shared" si="0"/>
        <v>USA2027Artificial Intelligence</v>
      </c>
      <c r="E11" s="26">
        <v>0.5</v>
      </c>
      <c r="F11" s="26">
        <v>0.1</v>
      </c>
    </row>
    <row r="12" spans="1:6" x14ac:dyDescent="0.2">
      <c r="A12" t="s">
        <v>14</v>
      </c>
      <c r="B12" s="1">
        <v>2018</v>
      </c>
      <c r="C12" s="11" t="s">
        <v>8</v>
      </c>
      <c r="D12" s="11" t="str">
        <f t="shared" si="0"/>
        <v>USA2018Marketing</v>
      </c>
      <c r="E12" s="26">
        <v>0.70000000000000007</v>
      </c>
      <c r="F12" s="26">
        <v>0.2</v>
      </c>
    </row>
    <row r="13" spans="1:6" x14ac:dyDescent="0.2">
      <c r="A13" t="s">
        <v>14</v>
      </c>
      <c r="B13" s="1">
        <v>2019</v>
      </c>
      <c r="C13" s="11" t="s">
        <v>8</v>
      </c>
      <c r="D13" s="11" t="str">
        <f t="shared" si="0"/>
        <v>USA2019Marketing</v>
      </c>
      <c r="E13" s="26">
        <v>0.5</v>
      </c>
      <c r="F13" s="26">
        <v>0.1</v>
      </c>
    </row>
    <row r="14" spans="1:6" x14ac:dyDescent="0.2">
      <c r="A14" t="s">
        <v>14</v>
      </c>
      <c r="B14" s="1">
        <v>2020</v>
      </c>
      <c r="C14" s="11" t="s">
        <v>8</v>
      </c>
      <c r="D14" s="11" t="str">
        <f t="shared" si="0"/>
        <v>USA2020Marketing</v>
      </c>
      <c r="E14" s="26">
        <v>0.5</v>
      </c>
      <c r="F14" s="26">
        <v>0.1</v>
      </c>
    </row>
    <row r="15" spans="1:6" x14ac:dyDescent="0.2">
      <c r="A15" t="s">
        <v>14</v>
      </c>
      <c r="B15" s="1">
        <v>2021</v>
      </c>
      <c r="C15" s="11" t="s">
        <v>8</v>
      </c>
      <c r="D15" s="11" t="str">
        <f t="shared" si="0"/>
        <v>USA2021Marketing</v>
      </c>
      <c r="E15" s="26">
        <v>0.70000000000000007</v>
      </c>
      <c r="F15" s="26">
        <v>0.1</v>
      </c>
    </row>
    <row r="16" spans="1:6" x14ac:dyDescent="0.2">
      <c r="A16" t="s">
        <v>14</v>
      </c>
      <c r="B16" s="1">
        <v>2022</v>
      </c>
      <c r="C16" s="11" t="s">
        <v>8</v>
      </c>
      <c r="D16" s="11" t="str">
        <f t="shared" si="0"/>
        <v>USA2022Marketing</v>
      </c>
      <c r="E16" s="26">
        <v>0.5</v>
      </c>
      <c r="F16" s="26">
        <v>0.1</v>
      </c>
    </row>
    <row r="17" spans="1:6" x14ac:dyDescent="0.2">
      <c r="A17" t="s">
        <v>14</v>
      </c>
      <c r="B17" s="1">
        <v>2023</v>
      </c>
      <c r="C17" s="11" t="s">
        <v>8</v>
      </c>
      <c r="D17" s="11" t="str">
        <f t="shared" si="0"/>
        <v>USA2023Marketing</v>
      </c>
      <c r="E17" s="26">
        <v>0.70000000000000007</v>
      </c>
      <c r="F17" s="26">
        <v>0.2</v>
      </c>
    </row>
    <row r="18" spans="1:6" x14ac:dyDescent="0.2">
      <c r="A18" t="s">
        <v>14</v>
      </c>
      <c r="B18" s="1">
        <v>2024</v>
      </c>
      <c r="C18" s="11" t="s">
        <v>8</v>
      </c>
      <c r="D18" s="11" t="str">
        <f t="shared" si="0"/>
        <v>USA2024Marketing</v>
      </c>
      <c r="E18" s="26">
        <v>0.5</v>
      </c>
      <c r="F18" s="26">
        <v>0.1</v>
      </c>
    </row>
    <row r="19" spans="1:6" x14ac:dyDescent="0.2">
      <c r="A19" t="s">
        <v>14</v>
      </c>
      <c r="B19" s="1">
        <v>2025</v>
      </c>
      <c r="C19" s="11" t="s">
        <v>8</v>
      </c>
      <c r="D19" s="11" t="str">
        <f t="shared" si="0"/>
        <v>USA2025Marketing</v>
      </c>
      <c r="E19" s="26">
        <v>0.70000000000000007</v>
      </c>
      <c r="F19" s="26">
        <v>0.2</v>
      </c>
    </row>
    <row r="20" spans="1:6" x14ac:dyDescent="0.2">
      <c r="A20" t="s">
        <v>14</v>
      </c>
      <c r="B20" s="1">
        <v>2026</v>
      </c>
      <c r="C20" s="11" t="s">
        <v>8</v>
      </c>
      <c r="D20" s="11" t="str">
        <f t="shared" si="0"/>
        <v>USA2026Marketing</v>
      </c>
      <c r="E20" s="26">
        <v>0.60000000000000009</v>
      </c>
      <c r="F20" s="26">
        <v>0.2</v>
      </c>
    </row>
    <row r="21" spans="1:6" x14ac:dyDescent="0.2">
      <c r="A21" t="s">
        <v>14</v>
      </c>
      <c r="B21" s="1">
        <v>2027</v>
      </c>
      <c r="C21" s="11" t="s">
        <v>8</v>
      </c>
      <c r="D21" s="11" t="str">
        <f t="shared" si="0"/>
        <v>USA2027Marketing</v>
      </c>
      <c r="E21" s="26">
        <v>0.5</v>
      </c>
      <c r="F21" s="26">
        <v>0.2</v>
      </c>
    </row>
    <row r="22" spans="1:6" x14ac:dyDescent="0.2">
      <c r="A22" t="s">
        <v>14</v>
      </c>
      <c r="B22" s="1">
        <v>2018</v>
      </c>
      <c r="C22" s="11" t="s">
        <v>9</v>
      </c>
      <c r="D22" s="11" t="str">
        <f t="shared" si="0"/>
        <v>USA2018Accounting</v>
      </c>
      <c r="E22" s="26">
        <v>0.70000000000000007</v>
      </c>
      <c r="F22" s="26">
        <v>0.1</v>
      </c>
    </row>
    <row r="23" spans="1:6" x14ac:dyDescent="0.2">
      <c r="A23" t="s">
        <v>14</v>
      </c>
      <c r="B23" s="1">
        <v>2019</v>
      </c>
      <c r="C23" s="11" t="s">
        <v>9</v>
      </c>
      <c r="D23" s="11" t="str">
        <f t="shared" si="0"/>
        <v>USA2019Accounting</v>
      </c>
      <c r="E23" s="26">
        <v>0.60000000000000009</v>
      </c>
      <c r="F23" s="26">
        <v>0.2</v>
      </c>
    </row>
    <row r="24" spans="1:6" x14ac:dyDescent="0.2">
      <c r="A24" t="s">
        <v>14</v>
      </c>
      <c r="B24" s="1">
        <v>2020</v>
      </c>
      <c r="C24" s="11" t="s">
        <v>9</v>
      </c>
      <c r="D24" s="11" t="str">
        <f t="shared" si="0"/>
        <v>USA2020Accounting</v>
      </c>
      <c r="E24" s="26">
        <v>0.8</v>
      </c>
      <c r="F24" s="26">
        <v>0.2</v>
      </c>
    </row>
    <row r="25" spans="1:6" x14ac:dyDescent="0.2">
      <c r="A25" t="s">
        <v>14</v>
      </c>
      <c r="B25" s="1">
        <v>2021</v>
      </c>
      <c r="C25" s="11" t="s">
        <v>9</v>
      </c>
      <c r="D25" s="11" t="str">
        <f t="shared" si="0"/>
        <v>USA2021Accounting</v>
      </c>
      <c r="E25" s="26">
        <v>0.8</v>
      </c>
      <c r="F25" s="26">
        <v>0.2</v>
      </c>
    </row>
    <row r="26" spans="1:6" x14ac:dyDescent="0.2">
      <c r="A26" t="s">
        <v>14</v>
      </c>
      <c r="B26" s="1">
        <v>2022</v>
      </c>
      <c r="C26" s="11" t="s">
        <v>9</v>
      </c>
      <c r="D26" s="11" t="str">
        <f t="shared" si="0"/>
        <v>USA2022Accounting</v>
      </c>
      <c r="E26" s="26">
        <v>0.8</v>
      </c>
      <c r="F26" s="26">
        <v>0.1</v>
      </c>
    </row>
    <row r="27" spans="1:6" x14ac:dyDescent="0.2">
      <c r="A27" t="s">
        <v>14</v>
      </c>
      <c r="B27" s="1">
        <v>2023</v>
      </c>
      <c r="C27" s="11" t="s">
        <v>9</v>
      </c>
      <c r="D27" s="11" t="str">
        <f t="shared" si="0"/>
        <v>USA2023Accounting</v>
      </c>
      <c r="E27" s="26">
        <v>0.8</v>
      </c>
      <c r="F27" s="26">
        <v>0.1</v>
      </c>
    </row>
    <row r="28" spans="1:6" x14ac:dyDescent="0.2">
      <c r="A28" t="s">
        <v>14</v>
      </c>
      <c r="B28" s="1">
        <v>2024</v>
      </c>
      <c r="C28" s="11" t="s">
        <v>9</v>
      </c>
      <c r="D28" s="11" t="str">
        <f t="shared" si="0"/>
        <v>USA2024Accounting</v>
      </c>
      <c r="E28" s="26">
        <v>0.70000000000000007</v>
      </c>
      <c r="F28" s="26">
        <v>0.1</v>
      </c>
    </row>
    <row r="29" spans="1:6" x14ac:dyDescent="0.2">
      <c r="A29" t="s">
        <v>14</v>
      </c>
      <c r="B29" s="1">
        <v>2025</v>
      </c>
      <c r="C29" s="11" t="s">
        <v>9</v>
      </c>
      <c r="D29" s="11" t="str">
        <f t="shared" si="0"/>
        <v>USA2025Accounting</v>
      </c>
      <c r="E29" s="26">
        <v>0.5</v>
      </c>
      <c r="F29" s="26">
        <v>0.2</v>
      </c>
    </row>
    <row r="30" spans="1:6" x14ac:dyDescent="0.2">
      <c r="A30" t="s">
        <v>14</v>
      </c>
      <c r="B30" s="1">
        <v>2026</v>
      </c>
      <c r="C30" s="11" t="s">
        <v>9</v>
      </c>
      <c r="D30" s="11" t="str">
        <f t="shared" si="0"/>
        <v>USA2026Accounting</v>
      </c>
      <c r="E30" s="26">
        <v>0.5</v>
      </c>
      <c r="F30" s="26">
        <v>0.2</v>
      </c>
    </row>
    <row r="31" spans="1:6" x14ac:dyDescent="0.2">
      <c r="A31" t="s">
        <v>14</v>
      </c>
      <c r="B31" s="1">
        <v>2027</v>
      </c>
      <c r="C31" s="11" t="s">
        <v>9</v>
      </c>
      <c r="D31" s="11" t="str">
        <f t="shared" si="0"/>
        <v>USA2027Accounting</v>
      </c>
      <c r="E31" s="26">
        <v>0.60000000000000009</v>
      </c>
      <c r="F31" s="26">
        <v>0.2</v>
      </c>
    </row>
    <row r="32" spans="1:6" x14ac:dyDescent="0.2">
      <c r="A32" t="s">
        <v>15</v>
      </c>
      <c r="B32" s="1">
        <v>2018</v>
      </c>
      <c r="C32" s="11" t="s">
        <v>5</v>
      </c>
      <c r="D32" s="11" t="str">
        <f t="shared" si="0"/>
        <v>Canada2018Artificial Intelligence</v>
      </c>
      <c r="E32" s="26">
        <v>0.60000000000000009</v>
      </c>
      <c r="F32" s="26">
        <v>0.2</v>
      </c>
    </row>
    <row r="33" spans="1:6" x14ac:dyDescent="0.2">
      <c r="A33" t="s">
        <v>15</v>
      </c>
      <c r="B33" s="1">
        <v>2019</v>
      </c>
      <c r="C33" s="11" t="s">
        <v>5</v>
      </c>
      <c r="D33" s="11" t="str">
        <f t="shared" si="0"/>
        <v>Canada2019Artificial Intelligence</v>
      </c>
      <c r="E33" s="26">
        <v>0.60000000000000009</v>
      </c>
      <c r="F33" s="26">
        <v>0.2</v>
      </c>
    </row>
    <row r="34" spans="1:6" x14ac:dyDescent="0.2">
      <c r="A34" t="s">
        <v>15</v>
      </c>
      <c r="B34" s="1">
        <v>2020</v>
      </c>
      <c r="C34" s="11" t="s">
        <v>5</v>
      </c>
      <c r="D34" s="11" t="str">
        <f t="shared" si="0"/>
        <v>Canada2020Artificial Intelligence</v>
      </c>
      <c r="E34" s="26">
        <v>0.70000000000000007</v>
      </c>
      <c r="F34" s="26">
        <v>0.2</v>
      </c>
    </row>
    <row r="35" spans="1:6" x14ac:dyDescent="0.2">
      <c r="A35" t="s">
        <v>15</v>
      </c>
      <c r="B35" s="1">
        <v>2021</v>
      </c>
      <c r="C35" s="11" t="s">
        <v>5</v>
      </c>
      <c r="D35" s="11" t="str">
        <f t="shared" si="0"/>
        <v>Canada2021Artificial Intelligence</v>
      </c>
      <c r="E35" s="26">
        <v>0.60000000000000009</v>
      </c>
      <c r="F35" s="26">
        <v>0.2</v>
      </c>
    </row>
    <row r="36" spans="1:6" x14ac:dyDescent="0.2">
      <c r="A36" t="s">
        <v>15</v>
      </c>
      <c r="B36" s="1">
        <v>2022</v>
      </c>
      <c r="C36" s="11" t="s">
        <v>5</v>
      </c>
      <c r="D36" s="11" t="str">
        <f t="shared" si="0"/>
        <v>Canada2022Artificial Intelligence</v>
      </c>
      <c r="E36" s="26">
        <v>0.70000000000000007</v>
      </c>
      <c r="F36" s="26">
        <v>0.2</v>
      </c>
    </row>
    <row r="37" spans="1:6" x14ac:dyDescent="0.2">
      <c r="A37" t="s">
        <v>15</v>
      </c>
      <c r="B37" s="1">
        <v>2023</v>
      </c>
      <c r="C37" s="11" t="s">
        <v>5</v>
      </c>
      <c r="D37" s="11" t="str">
        <f t="shared" si="0"/>
        <v>Canada2023Artificial Intelligence</v>
      </c>
      <c r="E37" s="26">
        <v>0.70000000000000007</v>
      </c>
      <c r="F37" s="26">
        <v>0.2</v>
      </c>
    </row>
    <row r="38" spans="1:6" x14ac:dyDescent="0.2">
      <c r="A38" t="s">
        <v>15</v>
      </c>
      <c r="B38" s="1">
        <v>2024</v>
      </c>
      <c r="C38" s="11" t="s">
        <v>5</v>
      </c>
      <c r="D38" s="11" t="str">
        <f t="shared" si="0"/>
        <v>Canada2024Artificial Intelligence</v>
      </c>
      <c r="E38" s="26">
        <v>0.70000000000000007</v>
      </c>
      <c r="F38" s="26">
        <v>0.1</v>
      </c>
    </row>
    <row r="39" spans="1:6" x14ac:dyDescent="0.2">
      <c r="A39" t="s">
        <v>15</v>
      </c>
      <c r="B39" s="1">
        <v>2025</v>
      </c>
      <c r="C39" s="11" t="s">
        <v>5</v>
      </c>
      <c r="D39" s="11" t="str">
        <f t="shared" si="0"/>
        <v>Canada2025Artificial Intelligence</v>
      </c>
      <c r="E39" s="26">
        <v>0.5</v>
      </c>
      <c r="F39" s="26">
        <v>0.1</v>
      </c>
    </row>
    <row r="40" spans="1:6" x14ac:dyDescent="0.2">
      <c r="A40" t="s">
        <v>15</v>
      </c>
      <c r="B40" s="1">
        <v>2026</v>
      </c>
      <c r="C40" s="11" t="s">
        <v>5</v>
      </c>
      <c r="D40" s="11" t="str">
        <f t="shared" si="0"/>
        <v>Canada2026Artificial Intelligence</v>
      </c>
      <c r="E40" s="26">
        <v>0.60000000000000009</v>
      </c>
      <c r="F40" s="26">
        <v>0.2</v>
      </c>
    </row>
    <row r="41" spans="1:6" x14ac:dyDescent="0.2">
      <c r="A41" t="s">
        <v>15</v>
      </c>
      <c r="B41" s="1">
        <v>2027</v>
      </c>
      <c r="C41" s="11" t="s">
        <v>5</v>
      </c>
      <c r="D41" s="11" t="str">
        <f t="shared" si="0"/>
        <v>Canada2027Artificial Intelligence</v>
      </c>
      <c r="E41" s="26">
        <v>0.5</v>
      </c>
      <c r="F41" s="26">
        <v>0.2</v>
      </c>
    </row>
    <row r="42" spans="1:6" x14ac:dyDescent="0.2">
      <c r="A42" t="s">
        <v>15</v>
      </c>
      <c r="B42" s="1">
        <v>2018</v>
      </c>
      <c r="C42" s="11" t="s">
        <v>8</v>
      </c>
      <c r="D42" s="11" t="str">
        <f t="shared" si="0"/>
        <v>Canada2018Marketing</v>
      </c>
      <c r="E42" s="26">
        <v>0.8</v>
      </c>
      <c r="F42" s="26">
        <v>0.1</v>
      </c>
    </row>
    <row r="43" spans="1:6" x14ac:dyDescent="0.2">
      <c r="A43" t="s">
        <v>15</v>
      </c>
      <c r="B43" s="1">
        <v>2019</v>
      </c>
      <c r="C43" s="11" t="s">
        <v>8</v>
      </c>
      <c r="D43" s="11" t="str">
        <f t="shared" si="0"/>
        <v>Canada2019Marketing</v>
      </c>
      <c r="E43" s="26">
        <v>0.70000000000000007</v>
      </c>
      <c r="F43" s="26">
        <v>0.1</v>
      </c>
    </row>
    <row r="44" spans="1:6" x14ac:dyDescent="0.2">
      <c r="A44" t="s">
        <v>15</v>
      </c>
      <c r="B44" s="1">
        <v>2020</v>
      </c>
      <c r="C44" s="11" t="s">
        <v>8</v>
      </c>
      <c r="D44" s="11" t="str">
        <f t="shared" si="0"/>
        <v>Canada2020Marketing</v>
      </c>
      <c r="E44" s="26">
        <v>0.60000000000000009</v>
      </c>
      <c r="F44" s="26">
        <v>0.1</v>
      </c>
    </row>
    <row r="45" spans="1:6" x14ac:dyDescent="0.2">
      <c r="A45" t="s">
        <v>15</v>
      </c>
      <c r="B45" s="1">
        <v>2021</v>
      </c>
      <c r="C45" s="11" t="s">
        <v>8</v>
      </c>
      <c r="D45" s="11" t="str">
        <f t="shared" si="0"/>
        <v>Canada2021Marketing</v>
      </c>
      <c r="E45" s="26">
        <v>0.5</v>
      </c>
      <c r="F45" s="26">
        <v>0.2</v>
      </c>
    </row>
    <row r="46" spans="1:6" x14ac:dyDescent="0.2">
      <c r="A46" t="s">
        <v>15</v>
      </c>
      <c r="B46" s="1">
        <v>2022</v>
      </c>
      <c r="C46" s="11" t="s">
        <v>8</v>
      </c>
      <c r="D46" s="11" t="str">
        <f t="shared" si="0"/>
        <v>Canada2022Marketing</v>
      </c>
      <c r="E46" s="26">
        <v>0.5</v>
      </c>
      <c r="F46" s="26">
        <v>0.2</v>
      </c>
    </row>
    <row r="47" spans="1:6" x14ac:dyDescent="0.2">
      <c r="A47" t="s">
        <v>15</v>
      </c>
      <c r="B47" s="1">
        <v>2023</v>
      </c>
      <c r="C47" s="11" t="s">
        <v>8</v>
      </c>
      <c r="D47" s="11" t="str">
        <f t="shared" si="0"/>
        <v>Canada2023Marketing</v>
      </c>
      <c r="E47" s="26">
        <v>0.70000000000000007</v>
      </c>
      <c r="F47" s="26">
        <v>0.2</v>
      </c>
    </row>
    <row r="48" spans="1:6" x14ac:dyDescent="0.2">
      <c r="A48" t="s">
        <v>15</v>
      </c>
      <c r="B48" s="1">
        <v>2024</v>
      </c>
      <c r="C48" s="11" t="s">
        <v>8</v>
      </c>
      <c r="D48" s="11" t="str">
        <f t="shared" si="0"/>
        <v>Canada2024Marketing</v>
      </c>
      <c r="E48" s="26">
        <v>0.5</v>
      </c>
      <c r="F48" s="26">
        <v>0.2</v>
      </c>
    </row>
    <row r="49" spans="1:6" x14ac:dyDescent="0.2">
      <c r="A49" t="s">
        <v>15</v>
      </c>
      <c r="B49" s="1">
        <v>2025</v>
      </c>
      <c r="C49" s="11" t="s">
        <v>8</v>
      </c>
      <c r="D49" s="11" t="str">
        <f t="shared" si="0"/>
        <v>Canada2025Marketing</v>
      </c>
      <c r="E49" s="26">
        <v>0.5</v>
      </c>
      <c r="F49" s="26">
        <v>0.2</v>
      </c>
    </row>
    <row r="50" spans="1:6" x14ac:dyDescent="0.2">
      <c r="A50" t="s">
        <v>15</v>
      </c>
      <c r="B50" s="1">
        <v>2026</v>
      </c>
      <c r="C50" s="11" t="s">
        <v>8</v>
      </c>
      <c r="D50" s="11" t="str">
        <f t="shared" si="0"/>
        <v>Canada2026Marketing</v>
      </c>
      <c r="E50" s="26">
        <v>0.8</v>
      </c>
      <c r="F50" s="26">
        <v>0.1</v>
      </c>
    </row>
    <row r="51" spans="1:6" x14ac:dyDescent="0.2">
      <c r="A51" t="s">
        <v>15</v>
      </c>
      <c r="B51" s="1">
        <v>2027</v>
      </c>
      <c r="C51" s="11" t="s">
        <v>8</v>
      </c>
      <c r="D51" s="11" t="str">
        <f t="shared" si="0"/>
        <v>Canada2027Marketing</v>
      </c>
      <c r="E51" s="26">
        <v>0.70000000000000007</v>
      </c>
      <c r="F51" s="26">
        <v>0.2</v>
      </c>
    </row>
    <row r="52" spans="1:6" x14ac:dyDescent="0.2">
      <c r="A52" t="s">
        <v>15</v>
      </c>
      <c r="B52" s="1">
        <v>2018</v>
      </c>
      <c r="C52" s="11" t="s">
        <v>9</v>
      </c>
      <c r="D52" s="11" t="str">
        <f t="shared" si="0"/>
        <v>Canada2018Accounting</v>
      </c>
      <c r="E52" s="26">
        <v>0.8</v>
      </c>
      <c r="F52" s="26">
        <v>0.2</v>
      </c>
    </row>
    <row r="53" spans="1:6" x14ac:dyDescent="0.2">
      <c r="A53" t="s">
        <v>15</v>
      </c>
      <c r="B53" s="1">
        <v>2019</v>
      </c>
      <c r="C53" s="11" t="s">
        <v>9</v>
      </c>
      <c r="D53" s="11" t="str">
        <f t="shared" si="0"/>
        <v>Canada2019Accounting</v>
      </c>
      <c r="E53" s="26">
        <v>0.5</v>
      </c>
      <c r="F53" s="26">
        <v>0.2</v>
      </c>
    </row>
    <row r="54" spans="1:6" x14ac:dyDescent="0.2">
      <c r="A54" t="s">
        <v>15</v>
      </c>
      <c r="B54" s="1">
        <v>2020</v>
      </c>
      <c r="C54" s="11" t="s">
        <v>9</v>
      </c>
      <c r="D54" s="11" t="str">
        <f t="shared" si="0"/>
        <v>Canada2020Accounting</v>
      </c>
      <c r="E54" s="26">
        <v>0.70000000000000007</v>
      </c>
      <c r="F54" s="26">
        <v>0.2</v>
      </c>
    </row>
    <row r="55" spans="1:6" x14ac:dyDescent="0.2">
      <c r="A55" t="s">
        <v>15</v>
      </c>
      <c r="B55" s="1">
        <v>2021</v>
      </c>
      <c r="C55" s="11" t="s">
        <v>9</v>
      </c>
      <c r="D55" s="11" t="str">
        <f t="shared" si="0"/>
        <v>Canada2021Accounting</v>
      </c>
      <c r="E55" s="26">
        <v>0.8</v>
      </c>
      <c r="F55" s="26">
        <v>0.2</v>
      </c>
    </row>
    <row r="56" spans="1:6" x14ac:dyDescent="0.2">
      <c r="A56" t="s">
        <v>15</v>
      </c>
      <c r="B56" s="1">
        <v>2022</v>
      </c>
      <c r="C56" s="11" t="s">
        <v>9</v>
      </c>
      <c r="D56" s="11" t="str">
        <f t="shared" si="0"/>
        <v>Canada2022Accounting</v>
      </c>
      <c r="E56" s="26">
        <v>0.5</v>
      </c>
      <c r="F56" s="26">
        <v>0.1</v>
      </c>
    </row>
    <row r="57" spans="1:6" x14ac:dyDescent="0.2">
      <c r="A57" t="s">
        <v>15</v>
      </c>
      <c r="B57" s="1">
        <v>2023</v>
      </c>
      <c r="C57" s="11" t="s">
        <v>9</v>
      </c>
      <c r="D57" s="11" t="str">
        <f t="shared" si="0"/>
        <v>Canada2023Accounting</v>
      </c>
      <c r="E57" s="26">
        <v>0.8</v>
      </c>
      <c r="F57" s="26">
        <v>0.1</v>
      </c>
    </row>
    <row r="58" spans="1:6" x14ac:dyDescent="0.2">
      <c r="A58" t="s">
        <v>15</v>
      </c>
      <c r="B58" s="1">
        <v>2024</v>
      </c>
      <c r="C58" s="11" t="s">
        <v>9</v>
      </c>
      <c r="D58" s="11" t="str">
        <f t="shared" si="0"/>
        <v>Canada2024Accounting</v>
      </c>
      <c r="E58" s="26">
        <v>0.5</v>
      </c>
      <c r="F58" s="26">
        <v>0.1</v>
      </c>
    </row>
    <row r="59" spans="1:6" x14ac:dyDescent="0.2">
      <c r="A59" t="s">
        <v>15</v>
      </c>
      <c r="B59" s="1">
        <v>2025</v>
      </c>
      <c r="C59" s="11" t="s">
        <v>9</v>
      </c>
      <c r="D59" s="11" t="str">
        <f t="shared" si="0"/>
        <v>Canada2025Accounting</v>
      </c>
      <c r="E59" s="26">
        <v>0.5</v>
      </c>
      <c r="F59" s="26">
        <v>0.2</v>
      </c>
    </row>
    <row r="60" spans="1:6" x14ac:dyDescent="0.2">
      <c r="A60" t="s">
        <v>15</v>
      </c>
      <c r="B60" s="1">
        <v>2026</v>
      </c>
      <c r="C60" s="11" t="s">
        <v>9</v>
      </c>
      <c r="D60" s="11" t="str">
        <f t="shared" si="0"/>
        <v>Canada2026Accounting</v>
      </c>
      <c r="E60" s="26">
        <v>0.8</v>
      </c>
      <c r="F60" s="26">
        <v>0.1</v>
      </c>
    </row>
    <row r="61" spans="1:6" x14ac:dyDescent="0.2">
      <c r="A61" t="s">
        <v>15</v>
      </c>
      <c r="B61" s="1">
        <v>2027</v>
      </c>
      <c r="C61" s="11" t="s">
        <v>9</v>
      </c>
      <c r="D61" s="11" t="str">
        <f t="shared" si="0"/>
        <v>Canada2027Accounting</v>
      </c>
      <c r="E61" s="26">
        <v>0.60000000000000009</v>
      </c>
      <c r="F61" s="26">
        <v>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Input Data</vt:lpstr>
      <vt:lpstr>Financials USA</vt:lpstr>
      <vt:lpstr>Financials Canada</vt:lpstr>
      <vt:lpstr>Gross Profit &amp; EBITDA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lorenzo rosa</dc:creator>
  <cp:lastModifiedBy>ILENIA SANTAGATA</cp:lastModifiedBy>
  <dcterms:created xsi:type="dcterms:W3CDTF">2024-01-22T20:20:01Z</dcterms:created>
  <dcterms:modified xsi:type="dcterms:W3CDTF">2026-07-01T22:44:55Z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ad0b24d-6422-44b0-b3de-abb3a9e8c81a_Enabled">
    <vt:lpwstr>true</vt:lpwstr>
  </property>
  <property fmtid="{D5CDD505-2E9C-101B-9397-08002B2CF9AE}" pid="3" name="MSIP_Label_2ad0b24d-6422-44b0-b3de-abb3a9e8c81a_SetDate">
    <vt:lpwstr>2026-07-01T22:44:55Z</vt:lpwstr>
  </property>
  <property fmtid="{D5CDD505-2E9C-101B-9397-08002B2CF9AE}" pid="4" name="MSIP_Label_2ad0b24d-6422-44b0-b3de-abb3a9e8c81a_Method">
    <vt:lpwstr>Standard</vt:lpwstr>
  </property>
  <property fmtid="{D5CDD505-2E9C-101B-9397-08002B2CF9AE}" pid="5" name="MSIP_Label_2ad0b24d-6422-44b0-b3de-abb3a9e8c81a_Name">
    <vt:lpwstr>defa4170-0d19-0005-0004-bc88714345d2</vt:lpwstr>
  </property>
  <property fmtid="{D5CDD505-2E9C-101B-9397-08002B2CF9AE}" pid="6" name="MSIP_Label_2ad0b24d-6422-44b0-b3de-abb3a9e8c81a_SiteId">
    <vt:lpwstr>2fcfe26a-bb62-46b0-b1e3-28f9da0c45fd</vt:lpwstr>
  </property>
  <property fmtid="{D5CDD505-2E9C-101B-9397-08002B2CF9AE}" pid="7" name="MSIP_Label_2ad0b24d-6422-44b0-b3de-abb3a9e8c81a_ActionId">
    <vt:lpwstr>cfd1f095-ea9d-431d-b1e5-be74c7715f04</vt:lpwstr>
  </property>
  <property fmtid="{D5CDD505-2E9C-101B-9397-08002B2CF9AE}" pid="8" name="MSIP_Label_2ad0b24d-6422-44b0-b3de-abb3a9e8c81a_ContentBits">
    <vt:lpwstr>0</vt:lpwstr>
  </property>
</Properties>
</file>